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randon\OneDrive\Upskill LLC\Program Materials\Excel Courses\Financial Modeling\Videos\Case Study 3 - Financial Decision-Making\"/>
    </mc:Choice>
  </mc:AlternateContent>
  <bookViews>
    <workbookView xWindow="0" yWindow="0" windowWidth="20490" windowHeight="7530" tabRatio="907"/>
  </bookViews>
  <sheets>
    <sheet name="Model Design" sheetId="40" r:id="rId1"/>
    <sheet name="1. Instructions" sheetId="30" r:id="rId2"/>
    <sheet name="2. Summary" sheetId="33" r:id="rId3"/>
    <sheet name="3. Sensitivity Analysis" sheetId="39" r:id="rId4"/>
    <sheet name="4. Acquisition Financing" sheetId="37" r:id="rId5"/>
    <sheet name="5. Projected Income Statement" sheetId="9" r:id="rId6"/>
    <sheet name="6. Projected Sales" sheetId="3" r:id="rId7"/>
    <sheet name="7. Projected Payroll" sheetId="6" r:id="rId8"/>
    <sheet name="8. Projected Oper. Expenses" sheetId="7" r:id="rId9"/>
  </sheets>
  <externalReferences>
    <externalReference r:id="rId10"/>
    <externalReference r:id="rId11"/>
  </externalReferences>
  <definedNames>
    <definedName name="ActualIS">'[1]8. Actual Income Statement'!$A$6:$Q$41</definedName>
    <definedName name="ActualSales">'[1]6. Actual Sales Data'!$A$5:$G$17</definedName>
    <definedName name="Amortization" localSheetId="0">'[2]8. Business Loan'!$H$2:$L$62</definedName>
    <definedName name="Amortization">#REF!</definedName>
    <definedName name="_xlnm.Print_Area" localSheetId="1">'1. Instructions'!$A$1:$M$27</definedName>
    <definedName name="_xlnm.Print_Area" localSheetId="2">'2. Summary'!$A$1:$O$47,'2. Summary'!$A$49:$O$82</definedName>
    <definedName name="_xlnm.Print_Area" localSheetId="3">'3. Sensitivity Analysis'!$A$1:$H$26</definedName>
    <definedName name="_xlnm.Print_Area" localSheetId="4">'4. Acquisition Financing'!$A$1:$K$129</definedName>
    <definedName name="_xlnm.Print_Area" localSheetId="5">'5. Projected Income Statement'!$A$1:$R$35</definedName>
    <definedName name="_xlnm.Print_Area" localSheetId="6">'6. Projected Sales'!$A$1:$T$31</definedName>
    <definedName name="_xlnm.Print_Area" localSheetId="7">'7. Projected Payroll'!$A$1:$X$16</definedName>
    <definedName name="_xlnm.Print_Area" localSheetId="8">'8. Projected Oper. Expenses'!$A$1:$J$21</definedName>
    <definedName name="_xlnm.Print_Area" localSheetId="0">'Model Design'!$A$1:$L$19</definedName>
    <definedName name="_xlnm.Print_Titles" localSheetId="5">'5. Projected Income Statement'!$2:$6</definedName>
    <definedName name="ProjectedIS">'[1]7. Projected Income Statement'!$A$6:$Q$41</definedName>
    <definedName name="solver_adj" localSheetId="2" hidden="1">'2. Summary'!$C$7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'2. Summary'!$O$6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0.18</definedName>
    <definedName name="solver_ver" localSheetId="2" hidden="1">3</definedName>
  </definedNames>
  <calcPr calcId="162913" iterate="1"/>
</workbook>
</file>

<file path=xl/calcChain.xml><?xml version="1.0" encoding="utf-8"?>
<calcChain xmlns="http://schemas.openxmlformats.org/spreadsheetml/2006/main">
  <c r="Q24" i="33" l="1"/>
  <c r="Q25" i="33" s="1"/>
  <c r="Q26" i="33" s="1"/>
  <c r="Q27" i="33" s="1"/>
  <c r="Q28" i="33" s="1"/>
  <c r="Q29" i="33" s="1"/>
  <c r="Q13" i="33"/>
  <c r="Q14" i="33" s="1"/>
  <c r="Q15" i="33" s="1"/>
  <c r="Q16" i="33" s="1"/>
  <c r="Q17" i="33" s="1"/>
  <c r="Q12" i="33"/>
  <c r="B18" i="39" l="1"/>
  <c r="G24" i="39"/>
  <c r="F24" i="39"/>
  <c r="E24" i="39"/>
  <c r="D24" i="39"/>
  <c r="C24" i="39"/>
  <c r="G23" i="39"/>
  <c r="F23" i="39"/>
  <c r="E23" i="39"/>
  <c r="D23" i="39"/>
  <c r="C23" i="39"/>
  <c r="G22" i="39"/>
  <c r="F22" i="39"/>
  <c r="E22" i="39"/>
  <c r="D22" i="39"/>
  <c r="C22" i="39"/>
  <c r="G21" i="39"/>
  <c r="F21" i="39"/>
  <c r="E21" i="39"/>
  <c r="D21" i="39"/>
  <c r="C21" i="39"/>
  <c r="G20" i="39"/>
  <c r="F20" i="39"/>
  <c r="E20" i="39"/>
  <c r="D20" i="39"/>
  <c r="C20" i="39"/>
  <c r="G19" i="39"/>
  <c r="F19" i="39"/>
  <c r="E19" i="39"/>
  <c r="D19" i="39"/>
  <c r="C19" i="39"/>
  <c r="G18" i="39"/>
  <c r="F18" i="39"/>
  <c r="E18" i="39"/>
  <c r="D18" i="39"/>
  <c r="C18" i="39"/>
  <c r="G17" i="39"/>
  <c r="F17" i="39"/>
  <c r="E17" i="39"/>
  <c r="D17" i="39"/>
  <c r="C17" i="39"/>
  <c r="G14" i="39" l="1"/>
  <c r="F14" i="39"/>
  <c r="E14" i="39"/>
  <c r="D14" i="39"/>
  <c r="C14" i="39"/>
  <c r="G13" i="39"/>
  <c r="F13" i="39"/>
  <c r="E13" i="39"/>
  <c r="D13" i="39"/>
  <c r="C13" i="39"/>
  <c r="G12" i="39"/>
  <c r="F12" i="39"/>
  <c r="E12" i="39"/>
  <c r="D12" i="39"/>
  <c r="C12" i="39"/>
  <c r="G11" i="39"/>
  <c r="F11" i="39"/>
  <c r="E11" i="39"/>
  <c r="D11" i="39"/>
  <c r="C11" i="39"/>
  <c r="G10" i="39"/>
  <c r="F10" i="39"/>
  <c r="E10" i="39"/>
  <c r="D10" i="39"/>
  <c r="C10" i="39"/>
  <c r="G9" i="39"/>
  <c r="F9" i="39"/>
  <c r="E9" i="39"/>
  <c r="D9" i="39"/>
  <c r="C9" i="39"/>
  <c r="G8" i="39"/>
  <c r="F8" i="39"/>
  <c r="E8" i="39"/>
  <c r="D8" i="39"/>
  <c r="C8" i="39"/>
  <c r="G7" i="39"/>
  <c r="F7" i="39"/>
  <c r="E7" i="39"/>
  <c r="D7" i="39"/>
  <c r="C7" i="39"/>
  <c r="B8" i="39"/>
  <c r="D13" i="33" l="1"/>
  <c r="D14" i="33" s="1"/>
  <c r="G39" i="33"/>
  <c r="H39" i="33" s="1"/>
  <c r="I39" i="33" s="1"/>
  <c r="J39" i="33" s="1"/>
  <c r="K39" i="33" s="1"/>
  <c r="L39" i="33" s="1"/>
  <c r="M39" i="33" s="1"/>
  <c r="N39" i="33" s="1"/>
  <c r="O39" i="33" s="1"/>
  <c r="G27" i="33"/>
  <c r="H27" i="33" s="1"/>
  <c r="I27" i="33" s="1"/>
  <c r="J27" i="33" s="1"/>
  <c r="K27" i="33" s="1"/>
  <c r="L27" i="33" s="1"/>
  <c r="M27" i="33" s="1"/>
  <c r="N27" i="33" s="1"/>
  <c r="C7" i="37"/>
  <c r="C6" i="37"/>
  <c r="B19" i="39" l="1"/>
  <c r="B9" i="39"/>
  <c r="O27" i="33"/>
  <c r="B20" i="39" l="1"/>
  <c r="B10" i="39"/>
  <c r="V10" i="6"/>
  <c r="U10" i="6"/>
  <c r="T10" i="6"/>
  <c r="S10" i="6"/>
  <c r="R10" i="6"/>
  <c r="Q10" i="6"/>
  <c r="P10" i="6"/>
  <c r="O10" i="6"/>
  <c r="N10" i="6"/>
  <c r="M10" i="6"/>
  <c r="L10" i="6"/>
  <c r="K10" i="6"/>
  <c r="B21" i="39" l="1"/>
  <c r="B11" i="39"/>
  <c r="F7" i="9"/>
  <c r="G7" i="9" s="1"/>
  <c r="H7" i="9" s="1"/>
  <c r="I7" i="9" s="1"/>
  <c r="J7" i="9" s="1"/>
  <c r="N15" i="9"/>
  <c r="M15" i="9"/>
  <c r="H15" i="9"/>
  <c r="L9" i="9"/>
  <c r="J9" i="9"/>
  <c r="E9" i="9"/>
  <c r="O28" i="9"/>
  <c r="W8" i="6"/>
  <c r="O21" i="9"/>
  <c r="N21" i="9"/>
  <c r="S11" i="6"/>
  <c r="S13" i="6" s="1"/>
  <c r="R11" i="6"/>
  <c r="Q11" i="6"/>
  <c r="Q13" i="6" s="1"/>
  <c r="O11" i="6"/>
  <c r="O13" i="6" s="1"/>
  <c r="N11" i="6"/>
  <c r="M11" i="6"/>
  <c r="M13" i="6" s="1"/>
  <c r="P29" i="9"/>
  <c r="M26" i="9"/>
  <c r="F9" i="9"/>
  <c r="H9" i="9"/>
  <c r="N9" i="9"/>
  <c r="P9" i="9"/>
  <c r="E14" i="9"/>
  <c r="F14" i="9"/>
  <c r="H14" i="9"/>
  <c r="N14" i="9"/>
  <c r="P14" i="9"/>
  <c r="B10" i="9"/>
  <c r="B15" i="9" s="1"/>
  <c r="B9" i="9"/>
  <c r="B14" i="9" s="1"/>
  <c r="B22" i="9"/>
  <c r="E6" i="9"/>
  <c r="F6" i="9"/>
  <c r="G6" i="9"/>
  <c r="H6" i="9"/>
  <c r="I6" i="9"/>
  <c r="J6" i="9"/>
  <c r="K6" i="9"/>
  <c r="L6" i="9"/>
  <c r="M6" i="9"/>
  <c r="N6" i="9"/>
  <c r="O6" i="9"/>
  <c r="P6" i="9"/>
  <c r="E23" i="3"/>
  <c r="F23" i="3" s="1"/>
  <c r="F22" i="3"/>
  <c r="E11" i="3"/>
  <c r="F11" i="3" s="1"/>
  <c r="F10" i="3"/>
  <c r="K11" i="6"/>
  <c r="H21" i="9"/>
  <c r="L21" i="9"/>
  <c r="E21" i="9"/>
  <c r="I21" i="9"/>
  <c r="M10" i="9"/>
  <c r="L10" i="9"/>
  <c r="G15" i="9"/>
  <c r="O15" i="9"/>
  <c r="T11" i="6"/>
  <c r="U11" i="6"/>
  <c r="U13" i="6" s="1"/>
  <c r="B22" i="39" l="1"/>
  <c r="B12" i="39"/>
  <c r="N10" i="9"/>
  <c r="N11" i="9" s="1"/>
  <c r="G26" i="9"/>
  <c r="G16" i="7"/>
  <c r="G18" i="7" s="1"/>
  <c r="J14" i="9"/>
  <c r="I10" i="7"/>
  <c r="T14" i="3"/>
  <c r="H13" i="3" s="1"/>
  <c r="L26" i="9"/>
  <c r="O26" i="9"/>
  <c r="L14" i="9"/>
  <c r="H26" i="9"/>
  <c r="P26" i="9"/>
  <c r="K26" i="9"/>
  <c r="I28" i="9"/>
  <c r="J29" i="9"/>
  <c r="F28" i="9"/>
  <c r="N28" i="9"/>
  <c r="I12" i="7"/>
  <c r="F26" i="9"/>
  <c r="J26" i="9"/>
  <c r="N26" i="9"/>
  <c r="H28" i="9"/>
  <c r="L28" i="9"/>
  <c r="P28" i="9"/>
  <c r="I29" i="9"/>
  <c r="M29" i="9"/>
  <c r="M28" i="9"/>
  <c r="N29" i="9"/>
  <c r="J28" i="9"/>
  <c r="G29" i="9"/>
  <c r="K29" i="9"/>
  <c r="O29" i="9"/>
  <c r="I13" i="7"/>
  <c r="E28" i="9"/>
  <c r="F29" i="9"/>
  <c r="E29" i="9"/>
  <c r="E26" i="9"/>
  <c r="I26" i="9"/>
  <c r="G28" i="9"/>
  <c r="K28" i="9"/>
  <c r="H29" i="9"/>
  <c r="L29" i="9"/>
  <c r="L22" i="9"/>
  <c r="L23" i="9" s="1"/>
  <c r="R13" i="6"/>
  <c r="O22" i="9"/>
  <c r="O23" i="9" s="1"/>
  <c r="N22" i="9"/>
  <c r="N23" i="9" s="1"/>
  <c r="T13" i="6"/>
  <c r="E22" i="9"/>
  <c r="E23" i="9" s="1"/>
  <c r="K13" i="6"/>
  <c r="H22" i="9"/>
  <c r="H23" i="9" s="1"/>
  <c r="N13" i="6"/>
  <c r="K21" i="9"/>
  <c r="G21" i="9"/>
  <c r="M21" i="9"/>
  <c r="L11" i="9"/>
  <c r="N16" i="9"/>
  <c r="L11" i="6"/>
  <c r="F21" i="9"/>
  <c r="W10" i="6"/>
  <c r="W11" i="6" s="1"/>
  <c r="M22" i="9"/>
  <c r="F10" i="9"/>
  <c r="F11" i="9" s="1"/>
  <c r="F15" i="9"/>
  <c r="F16" i="9" s="1"/>
  <c r="T26" i="3"/>
  <c r="N25" i="3" s="1"/>
  <c r="K15" i="9"/>
  <c r="K10" i="9"/>
  <c r="K7" i="9"/>
  <c r="H16" i="9"/>
  <c r="K22" i="9"/>
  <c r="J21" i="9"/>
  <c r="P11" i="6"/>
  <c r="E10" i="9"/>
  <c r="E15" i="9"/>
  <c r="H10" i="9"/>
  <c r="H11" i="9" s="1"/>
  <c r="P15" i="9"/>
  <c r="P16" i="9" s="1"/>
  <c r="S25" i="3"/>
  <c r="P10" i="9"/>
  <c r="P11" i="9" s="1"/>
  <c r="G22" i="9"/>
  <c r="I22" i="9"/>
  <c r="I23" i="9" s="1"/>
  <c r="P21" i="9"/>
  <c r="V11" i="6"/>
  <c r="I10" i="9"/>
  <c r="I15" i="9"/>
  <c r="L15" i="9"/>
  <c r="G10" i="9"/>
  <c r="J10" i="9"/>
  <c r="J11" i="9" s="1"/>
  <c r="J15" i="9"/>
  <c r="O10" i="9"/>
  <c r="O25" i="3" l="1"/>
  <c r="I16" i="7"/>
  <c r="I18" i="7" s="1"/>
  <c r="B24" i="39"/>
  <c r="B23" i="39"/>
  <c r="B13" i="39"/>
  <c r="B14" i="39"/>
  <c r="O13" i="3"/>
  <c r="J13" i="3"/>
  <c r="Q13" i="3"/>
  <c r="R13" i="3"/>
  <c r="S13" i="3"/>
  <c r="I13" i="3"/>
  <c r="E16" i="3"/>
  <c r="K13" i="3"/>
  <c r="M13" i="3"/>
  <c r="L13" i="3"/>
  <c r="Q29" i="9"/>
  <c r="Q28" i="9"/>
  <c r="Q26" i="9"/>
  <c r="L16" i="9"/>
  <c r="E17" i="3"/>
  <c r="E18" i="3" s="1"/>
  <c r="F18" i="3" s="1"/>
  <c r="N18" i="9"/>
  <c r="J16" i="9"/>
  <c r="O14" i="9"/>
  <c r="O16" i="9" s="1"/>
  <c r="O9" i="9"/>
  <c r="O11" i="9" s="1"/>
  <c r="K23" i="9"/>
  <c r="K9" i="9"/>
  <c r="K11" i="9" s="1"/>
  <c r="K14" i="9"/>
  <c r="K16" i="9" s="1"/>
  <c r="N13" i="3"/>
  <c r="G9" i="9"/>
  <c r="G14" i="9"/>
  <c r="P13" i="3"/>
  <c r="M14" i="9"/>
  <c r="M16" i="9" s="1"/>
  <c r="M9" i="9"/>
  <c r="M11" i="9" s="1"/>
  <c r="I9" i="9"/>
  <c r="I11" i="9" s="1"/>
  <c r="I14" i="9"/>
  <c r="I16" i="9" s="1"/>
  <c r="M31" i="9"/>
  <c r="I31" i="9"/>
  <c r="E31" i="9"/>
  <c r="H31" i="9"/>
  <c r="K31" i="9"/>
  <c r="P31" i="9"/>
  <c r="N31" i="9"/>
  <c r="J31" i="9"/>
  <c r="F31" i="9"/>
  <c r="L31" i="9"/>
  <c r="I15" i="7"/>
  <c r="O31" i="9"/>
  <c r="G31" i="9"/>
  <c r="N27" i="9"/>
  <c r="J27" i="9"/>
  <c r="F27" i="9"/>
  <c r="I11" i="7"/>
  <c r="M27" i="9"/>
  <c r="P27" i="9"/>
  <c r="I27" i="9"/>
  <c r="L27" i="9"/>
  <c r="O27" i="9"/>
  <c r="K27" i="9"/>
  <c r="G27" i="9"/>
  <c r="E27" i="9"/>
  <c r="H27" i="9"/>
  <c r="M23" i="9"/>
  <c r="J22" i="9"/>
  <c r="J23" i="9" s="1"/>
  <c r="P13" i="6"/>
  <c r="F22" i="9"/>
  <c r="L13" i="6"/>
  <c r="P22" i="9"/>
  <c r="P23" i="9" s="1"/>
  <c r="V13" i="6"/>
  <c r="G23" i="9"/>
  <c r="I25" i="3"/>
  <c r="H18" i="9"/>
  <c r="P18" i="9"/>
  <c r="E16" i="9"/>
  <c r="Q15" i="9"/>
  <c r="Q21" i="9"/>
  <c r="E11" i="9"/>
  <c r="Q10" i="9"/>
  <c r="F18" i="9"/>
  <c r="L7" i="9"/>
  <c r="E29" i="3"/>
  <c r="R25" i="3"/>
  <c r="P25" i="3"/>
  <c r="J25" i="3"/>
  <c r="K25" i="3"/>
  <c r="E28" i="3"/>
  <c r="M25" i="3"/>
  <c r="H25" i="3"/>
  <c r="Q25" i="3"/>
  <c r="L25" i="3"/>
  <c r="Q31" i="9" l="1"/>
  <c r="L18" i="9"/>
  <c r="T13" i="3"/>
  <c r="J18" i="9"/>
  <c r="Q9" i="9"/>
  <c r="Q11" i="9" s="1"/>
  <c r="G11" i="9"/>
  <c r="G16" i="9"/>
  <c r="Q14" i="9"/>
  <c r="Q16" i="9" s="1"/>
  <c r="I18" i="9"/>
  <c r="K18" i="9"/>
  <c r="O18" i="9"/>
  <c r="M18" i="9"/>
  <c r="Q27" i="9"/>
  <c r="O30" i="9"/>
  <c r="O32" i="9" s="1"/>
  <c r="J30" i="9"/>
  <c r="J32" i="9" s="1"/>
  <c r="P30" i="9"/>
  <c r="P32" i="9" s="1"/>
  <c r="P34" i="9" s="1"/>
  <c r="I30" i="9"/>
  <c r="I32" i="9" s="1"/>
  <c r="G30" i="9"/>
  <c r="G32" i="9" s="1"/>
  <c r="I14" i="7"/>
  <c r="K30" i="9"/>
  <c r="K32" i="9" s="1"/>
  <c r="F30" i="9"/>
  <c r="F32" i="9" s="1"/>
  <c r="L30" i="9"/>
  <c r="L32" i="9" s="1"/>
  <c r="N30" i="9"/>
  <c r="N32" i="9" s="1"/>
  <c r="N34" i="9" s="1"/>
  <c r="M30" i="9"/>
  <c r="M32" i="9" s="1"/>
  <c r="E30" i="9"/>
  <c r="E32" i="9" s="1"/>
  <c r="H30" i="9"/>
  <c r="H32" i="9" s="1"/>
  <c r="H34" i="9" s="1"/>
  <c r="Q22" i="9"/>
  <c r="Q23" i="9" s="1"/>
  <c r="F23" i="9"/>
  <c r="W13" i="6"/>
  <c r="T25" i="3"/>
  <c r="E30" i="3"/>
  <c r="F30" i="3" s="1"/>
  <c r="M7" i="9"/>
  <c r="E18" i="9"/>
  <c r="E34" i="9" s="1"/>
  <c r="F34" i="9" l="1"/>
  <c r="I34" i="9"/>
  <c r="M34" i="9"/>
  <c r="J34" i="9"/>
  <c r="O34" i="9"/>
  <c r="K34" i="9"/>
  <c r="L34" i="9"/>
  <c r="Q30" i="9"/>
  <c r="Q32" i="9" s="1"/>
  <c r="Q18" i="9"/>
  <c r="G18" i="9"/>
  <c r="G34" i="9" s="1"/>
  <c r="N7" i="9"/>
  <c r="Q34" i="9" l="1"/>
  <c r="F29" i="33" s="1"/>
  <c r="O7" i="9"/>
  <c r="I6" i="33" l="1"/>
  <c r="F63" i="33"/>
  <c r="F59" i="33"/>
  <c r="F60" i="33"/>
  <c r="F61" i="33"/>
  <c r="F62" i="33"/>
  <c r="F56" i="33"/>
  <c r="F55" i="33"/>
  <c r="F58" i="33"/>
  <c r="F57" i="33"/>
  <c r="P7" i="9"/>
  <c r="I7" i="33" l="1"/>
  <c r="F41" i="33"/>
  <c r="I8" i="33" l="1"/>
  <c r="G41" i="33"/>
  <c r="I9" i="33" l="1"/>
  <c r="H41" i="33"/>
  <c r="I10" i="33" l="1"/>
  <c r="I41" i="33"/>
  <c r="J41" i="33" l="1"/>
  <c r="I11" i="33"/>
  <c r="K29" i="33"/>
  <c r="K63" i="33" l="1"/>
  <c r="K62" i="33"/>
  <c r="K61" i="33"/>
  <c r="K60" i="33"/>
  <c r="K41" i="33"/>
  <c r="K42" i="33" s="1"/>
  <c r="K43" i="33" s="1"/>
  <c r="K59" i="33" s="1"/>
  <c r="I12" i="33"/>
  <c r="L29" i="33"/>
  <c r="L63" i="33" l="1"/>
  <c r="L65" i="33" s="1"/>
  <c r="L62" i="33"/>
  <c r="L61" i="33"/>
  <c r="L41" i="33"/>
  <c r="M29" i="33"/>
  <c r="I13" i="33"/>
  <c r="G29" i="33"/>
  <c r="L42" i="33" l="1"/>
  <c r="L43" i="33" s="1"/>
  <c r="L60" i="33" s="1"/>
  <c r="M63" i="33"/>
  <c r="M65" i="33" s="1"/>
  <c r="M62" i="33"/>
  <c r="G59" i="33"/>
  <c r="G60" i="33"/>
  <c r="G62" i="33"/>
  <c r="G61" i="33"/>
  <c r="G63" i="33"/>
  <c r="G65" i="33" s="1"/>
  <c r="M41" i="33"/>
  <c r="M42" i="33" s="1"/>
  <c r="M43" i="33" s="1"/>
  <c r="M61" i="33" s="1"/>
  <c r="I14" i="33"/>
  <c r="N29" i="33"/>
  <c r="N63" i="33" s="1"/>
  <c r="N65" i="33" s="1"/>
  <c r="G56" i="33"/>
  <c r="G58" i="33"/>
  <c r="G57" i="33"/>
  <c r="H29" i="33"/>
  <c r="N41" i="33" l="1"/>
  <c r="O29" i="33"/>
  <c r="I15" i="33"/>
  <c r="H59" i="33"/>
  <c r="H60" i="33"/>
  <c r="H61" i="33"/>
  <c r="H62" i="33"/>
  <c r="H63" i="33"/>
  <c r="H65" i="33" s="1"/>
  <c r="H58" i="33"/>
  <c r="H57" i="33"/>
  <c r="F42" i="33"/>
  <c r="F43" i="33" s="1"/>
  <c r="F54" i="33" s="1"/>
  <c r="I29" i="33"/>
  <c r="N42" i="33" l="1"/>
  <c r="N43" i="33" s="1"/>
  <c r="N62" i="33" s="1"/>
  <c r="I58" i="33"/>
  <c r="I61" i="33"/>
  <c r="I63" i="33"/>
  <c r="I65" i="33" s="1"/>
  <c r="I59" i="33"/>
  <c r="I60" i="33"/>
  <c r="I62" i="33"/>
  <c r="O41" i="33"/>
  <c r="O42" i="33" s="1"/>
  <c r="O43" i="33" s="1"/>
  <c r="O63" i="33" s="1"/>
  <c r="O65" i="33" s="1"/>
  <c r="G42" i="33"/>
  <c r="G43" i="33" s="1"/>
  <c r="G55" i="33" s="1"/>
  <c r="J29" i="33"/>
  <c r="J60" i="33" l="1"/>
  <c r="J63" i="33"/>
  <c r="J59" i="33"/>
  <c r="J62" i="33"/>
  <c r="J61" i="33"/>
  <c r="H42" i="33"/>
  <c r="H43" i="33" s="1"/>
  <c r="H56" i="33" s="1"/>
  <c r="J65" i="33" l="1"/>
  <c r="K65" i="33"/>
  <c r="I42" i="33"/>
  <c r="I43" i="33" s="1"/>
  <c r="I57" i="33" s="1"/>
  <c r="J42" i="33" l="1"/>
  <c r="J43" i="33" s="1"/>
  <c r="J58" i="33" s="1"/>
  <c r="N6" i="33" l="1"/>
  <c r="O6" i="33"/>
  <c r="D7" i="33"/>
  <c r="N7" i="33"/>
  <c r="O7" i="33"/>
  <c r="C8" i="33"/>
  <c r="C9" i="33"/>
  <c r="D9" i="33"/>
  <c r="N9" i="33"/>
  <c r="O9" i="33"/>
  <c r="Q10" i="33"/>
  <c r="N11" i="33"/>
  <c r="O11" i="33"/>
  <c r="C12" i="33"/>
  <c r="C13" i="33"/>
  <c r="C14" i="33"/>
  <c r="C18" i="33"/>
  <c r="C22" i="33"/>
  <c r="Q22" i="33"/>
  <c r="F31" i="33"/>
  <c r="G31" i="33"/>
  <c r="H31" i="33"/>
  <c r="I31" i="33"/>
  <c r="J31" i="33"/>
  <c r="K31" i="33"/>
  <c r="L31" i="33"/>
  <c r="M31" i="33"/>
  <c r="N31" i="33"/>
  <c r="O31" i="33"/>
  <c r="F33" i="33"/>
  <c r="G33" i="33"/>
  <c r="H33" i="33"/>
  <c r="I33" i="33"/>
  <c r="J33" i="33"/>
  <c r="K33" i="33"/>
  <c r="L33" i="33"/>
  <c r="M33" i="33"/>
  <c r="N33" i="33"/>
  <c r="O33" i="33"/>
  <c r="F35" i="33"/>
  <c r="G35" i="33"/>
  <c r="H35" i="33"/>
  <c r="I35" i="33"/>
  <c r="J35" i="33"/>
  <c r="K35" i="33"/>
  <c r="L35" i="33"/>
  <c r="M35" i="33"/>
  <c r="N35" i="33"/>
  <c r="O35" i="33"/>
  <c r="F36" i="33"/>
  <c r="G36" i="33"/>
  <c r="H36" i="33"/>
  <c r="I36" i="33"/>
  <c r="J36" i="33"/>
  <c r="K36" i="33"/>
  <c r="L36" i="33"/>
  <c r="M36" i="33"/>
  <c r="N36" i="33"/>
  <c r="O36" i="33"/>
  <c r="F37" i="33"/>
  <c r="G37" i="33"/>
  <c r="H37" i="33"/>
  <c r="I37" i="33"/>
  <c r="J37" i="33"/>
  <c r="K37" i="33"/>
  <c r="L37" i="33"/>
  <c r="M37" i="33"/>
  <c r="N37" i="33"/>
  <c r="O37" i="33"/>
  <c r="F44" i="33"/>
  <c r="G44" i="33"/>
  <c r="H44" i="33"/>
  <c r="I44" i="33"/>
  <c r="J44" i="33"/>
  <c r="K44" i="33"/>
  <c r="L44" i="33"/>
  <c r="M44" i="33"/>
  <c r="N44" i="33"/>
  <c r="O44" i="33"/>
  <c r="F46" i="33"/>
  <c r="G46" i="33"/>
  <c r="H46" i="33"/>
  <c r="I46" i="33"/>
  <c r="J46" i="33"/>
  <c r="K46" i="33"/>
  <c r="L46" i="33"/>
  <c r="M46" i="33"/>
  <c r="N46" i="33"/>
  <c r="O46" i="33"/>
  <c r="C54" i="33"/>
  <c r="D54" i="33"/>
  <c r="E54" i="33"/>
  <c r="C55" i="33"/>
  <c r="D55" i="33"/>
  <c r="E55" i="33"/>
  <c r="C56" i="33"/>
  <c r="D56" i="33"/>
  <c r="E56" i="33"/>
  <c r="C57" i="33"/>
  <c r="D57" i="33"/>
  <c r="E57" i="33"/>
  <c r="C58" i="33"/>
  <c r="D58" i="33"/>
  <c r="E58" i="33"/>
  <c r="C59" i="33"/>
  <c r="D59" i="33"/>
  <c r="E59" i="33"/>
  <c r="C60" i="33"/>
  <c r="D60" i="33"/>
  <c r="E60" i="33"/>
  <c r="C61" i="33"/>
  <c r="D61" i="33"/>
  <c r="E61" i="33"/>
  <c r="C62" i="33"/>
  <c r="D62" i="33"/>
  <c r="E62" i="33"/>
  <c r="C63" i="33"/>
  <c r="D63" i="33"/>
  <c r="E63" i="33"/>
  <c r="E65" i="33"/>
  <c r="F65" i="33"/>
  <c r="C70" i="33"/>
  <c r="D70" i="33"/>
  <c r="E70" i="33"/>
  <c r="F70" i="33"/>
  <c r="C71" i="33"/>
  <c r="D71" i="33"/>
  <c r="E71" i="33"/>
  <c r="F71" i="33"/>
  <c r="G71" i="33"/>
  <c r="C72" i="33"/>
  <c r="D72" i="33"/>
  <c r="E72" i="33"/>
  <c r="F72" i="33"/>
  <c r="G72" i="33"/>
  <c r="H72" i="33"/>
  <c r="C73" i="33"/>
  <c r="D73" i="33"/>
  <c r="E73" i="33"/>
  <c r="F73" i="33"/>
  <c r="G73" i="33"/>
  <c r="H73" i="33"/>
  <c r="I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K75" i="33"/>
  <c r="C76" i="33"/>
  <c r="D76" i="33"/>
  <c r="E76" i="33"/>
  <c r="F76" i="33"/>
  <c r="G76" i="33"/>
  <c r="H76" i="33"/>
  <c r="I76" i="33"/>
  <c r="J76" i="33"/>
  <c r="K76" i="33"/>
  <c r="L76" i="33"/>
  <c r="C77" i="33"/>
  <c r="D77" i="33"/>
  <c r="E77" i="33"/>
  <c r="F77" i="33"/>
  <c r="G77" i="33"/>
  <c r="H77" i="33"/>
  <c r="I77" i="33"/>
  <c r="J77" i="33"/>
  <c r="K77" i="33"/>
  <c r="L77" i="33"/>
  <c r="M77" i="33"/>
  <c r="C78" i="33"/>
  <c r="D78" i="33"/>
  <c r="E78" i="33"/>
  <c r="F78" i="33"/>
  <c r="G78" i="33"/>
  <c r="H78" i="33"/>
  <c r="I78" i="33"/>
  <c r="J78" i="33"/>
  <c r="K78" i="33"/>
  <c r="L78" i="33"/>
  <c r="M78" i="33"/>
  <c r="N78" i="33"/>
  <c r="C79" i="33"/>
  <c r="D79" i="33"/>
  <c r="E79" i="33"/>
  <c r="F79" i="33"/>
  <c r="G79" i="33"/>
  <c r="H79" i="33"/>
  <c r="I79" i="33"/>
  <c r="J79" i="33"/>
  <c r="K79" i="33"/>
  <c r="L79" i="33"/>
  <c r="M79" i="33"/>
  <c r="N79" i="33"/>
  <c r="O79" i="33"/>
  <c r="E81" i="33"/>
  <c r="F81" i="33"/>
  <c r="G81" i="33"/>
  <c r="H81" i="33"/>
  <c r="I81" i="33"/>
  <c r="J81" i="33"/>
  <c r="K81" i="33"/>
  <c r="L81" i="33"/>
  <c r="M81" i="33"/>
  <c r="N81" i="33"/>
  <c r="O81" i="33"/>
  <c r="C5" i="37"/>
  <c r="G9" i="37"/>
  <c r="H9" i="37"/>
  <c r="I9" i="37"/>
  <c r="J9" i="37"/>
  <c r="G10" i="37"/>
  <c r="H10" i="37"/>
  <c r="I10" i="37"/>
  <c r="J10" i="37"/>
  <c r="G11" i="37"/>
  <c r="H11" i="37"/>
  <c r="I11" i="37"/>
  <c r="J11" i="37"/>
  <c r="G12" i="37"/>
  <c r="H12" i="37"/>
  <c r="I12" i="37"/>
  <c r="J12" i="37"/>
  <c r="G13" i="37"/>
  <c r="H13" i="37"/>
  <c r="I13" i="37"/>
  <c r="J13" i="37"/>
  <c r="G14" i="37"/>
  <c r="H14" i="37"/>
  <c r="I14" i="37"/>
  <c r="J14" i="37"/>
  <c r="G15" i="37"/>
  <c r="H15" i="37"/>
  <c r="I15" i="37"/>
  <c r="J15" i="37"/>
  <c r="G16" i="37"/>
  <c r="H16" i="37"/>
  <c r="I16" i="37"/>
  <c r="J16" i="37"/>
  <c r="G17" i="37"/>
  <c r="H17" i="37"/>
  <c r="I17" i="37"/>
  <c r="J17" i="37"/>
  <c r="G18" i="37"/>
  <c r="H18" i="37"/>
  <c r="I18" i="37"/>
  <c r="J18" i="37"/>
  <c r="G19" i="37"/>
  <c r="H19" i="37"/>
  <c r="I19" i="37"/>
  <c r="J19" i="37"/>
  <c r="G20" i="37"/>
  <c r="H20" i="37"/>
  <c r="I20" i="37"/>
  <c r="J20" i="37"/>
  <c r="G21" i="37"/>
  <c r="H21" i="37"/>
  <c r="I21" i="37"/>
  <c r="J21" i="37"/>
  <c r="G22" i="37"/>
  <c r="H22" i="37"/>
  <c r="I22" i="37"/>
  <c r="J22" i="37"/>
  <c r="G23" i="37"/>
  <c r="H23" i="37"/>
  <c r="I23" i="37"/>
  <c r="J23" i="37"/>
  <c r="G24" i="37"/>
  <c r="H24" i="37"/>
  <c r="I24" i="37"/>
  <c r="J24" i="37"/>
  <c r="G25" i="37"/>
  <c r="H25" i="37"/>
  <c r="I25" i="37"/>
  <c r="J25" i="37"/>
  <c r="G26" i="37"/>
  <c r="H26" i="37"/>
  <c r="I26" i="37"/>
  <c r="J26" i="37"/>
  <c r="G27" i="37"/>
  <c r="H27" i="37"/>
  <c r="I27" i="37"/>
  <c r="J27" i="37"/>
  <c r="G28" i="37"/>
  <c r="H28" i="37"/>
  <c r="I28" i="37"/>
  <c r="J28" i="37"/>
  <c r="G29" i="37"/>
  <c r="H29" i="37"/>
  <c r="I29" i="37"/>
  <c r="J29" i="37"/>
  <c r="G30" i="37"/>
  <c r="H30" i="37"/>
  <c r="I30" i="37"/>
  <c r="J30" i="37"/>
  <c r="G31" i="37"/>
  <c r="H31" i="37"/>
  <c r="I31" i="37"/>
  <c r="J31" i="37"/>
  <c r="G32" i="37"/>
  <c r="H32" i="37"/>
  <c r="I32" i="37"/>
  <c r="J32" i="37"/>
  <c r="G33" i="37"/>
  <c r="H33" i="37"/>
  <c r="I33" i="37"/>
  <c r="J33" i="37"/>
  <c r="G34" i="37"/>
  <c r="H34" i="37"/>
  <c r="I34" i="37"/>
  <c r="J34" i="37"/>
  <c r="G35" i="37"/>
  <c r="H35" i="37"/>
  <c r="I35" i="37"/>
  <c r="J35" i="37"/>
  <c r="G36" i="37"/>
  <c r="H36" i="37"/>
  <c r="I36" i="37"/>
  <c r="J36" i="37"/>
  <c r="G37" i="37"/>
  <c r="H37" i="37"/>
  <c r="I37" i="37"/>
  <c r="J37" i="37"/>
  <c r="G38" i="37"/>
  <c r="H38" i="37"/>
  <c r="I38" i="37"/>
  <c r="J38" i="37"/>
  <c r="G39" i="37"/>
  <c r="H39" i="37"/>
  <c r="I39" i="37"/>
  <c r="J39" i="37"/>
  <c r="G40" i="37"/>
  <c r="H40" i="37"/>
  <c r="I40" i="37"/>
  <c r="J40" i="37"/>
  <c r="G41" i="37"/>
  <c r="H41" i="37"/>
  <c r="I41" i="37"/>
  <c r="J41" i="37"/>
  <c r="G42" i="37"/>
  <c r="H42" i="37"/>
  <c r="I42" i="37"/>
  <c r="J42" i="37"/>
  <c r="G43" i="37"/>
  <c r="H43" i="37"/>
  <c r="I43" i="37"/>
  <c r="J43" i="37"/>
  <c r="G44" i="37"/>
  <c r="H44" i="37"/>
  <c r="I44" i="37"/>
  <c r="J44" i="37"/>
  <c r="G45" i="37"/>
  <c r="H45" i="37"/>
  <c r="I45" i="37"/>
  <c r="J45" i="37"/>
  <c r="G46" i="37"/>
  <c r="H46" i="37"/>
  <c r="I46" i="37"/>
  <c r="J46" i="37"/>
  <c r="G47" i="37"/>
  <c r="H47" i="37"/>
  <c r="I47" i="37"/>
  <c r="J47" i="37"/>
  <c r="G48" i="37"/>
  <c r="H48" i="37"/>
  <c r="I48" i="37"/>
  <c r="J48" i="37"/>
  <c r="G49" i="37"/>
  <c r="H49" i="37"/>
  <c r="I49" i="37"/>
  <c r="J49" i="37"/>
  <c r="G50" i="37"/>
  <c r="H50" i="37"/>
  <c r="I50" i="37"/>
  <c r="J50" i="37"/>
  <c r="G51" i="37"/>
  <c r="H51" i="37"/>
  <c r="I51" i="37"/>
  <c r="J51" i="37"/>
  <c r="G52" i="37"/>
  <c r="H52" i="37"/>
  <c r="I52" i="37"/>
  <c r="J52" i="37"/>
  <c r="G53" i="37"/>
  <c r="H53" i="37"/>
  <c r="I53" i="37"/>
  <c r="J53" i="37"/>
  <c r="G54" i="37"/>
  <c r="H54" i="37"/>
  <c r="I54" i="37"/>
  <c r="J54" i="37"/>
  <c r="G55" i="37"/>
  <c r="H55" i="37"/>
  <c r="I55" i="37"/>
  <c r="J55" i="37"/>
  <c r="G56" i="37"/>
  <c r="H56" i="37"/>
  <c r="I56" i="37"/>
  <c r="J56" i="37"/>
  <c r="G57" i="37"/>
  <c r="H57" i="37"/>
  <c r="I57" i="37"/>
  <c r="J57" i="37"/>
  <c r="G58" i="37"/>
  <c r="H58" i="37"/>
  <c r="I58" i="37"/>
  <c r="J58" i="37"/>
  <c r="G59" i="37"/>
  <c r="H59" i="37"/>
  <c r="I59" i="37"/>
  <c r="J59" i="37"/>
  <c r="G60" i="37"/>
  <c r="H60" i="37"/>
  <c r="I60" i="37"/>
  <c r="J60" i="37"/>
  <c r="G61" i="37"/>
  <c r="H61" i="37"/>
  <c r="I61" i="37"/>
  <c r="J61" i="37"/>
  <c r="G62" i="37"/>
  <c r="H62" i="37"/>
  <c r="I62" i="37"/>
  <c r="J62" i="37"/>
  <c r="G63" i="37"/>
  <c r="H63" i="37"/>
  <c r="I63" i="37"/>
  <c r="J63" i="37"/>
  <c r="G64" i="37"/>
  <c r="H64" i="37"/>
  <c r="I64" i="37"/>
  <c r="J64" i="37"/>
  <c r="G65" i="37"/>
  <c r="H65" i="37"/>
  <c r="I65" i="37"/>
  <c r="J65" i="37"/>
  <c r="G66" i="37"/>
  <c r="H66" i="37"/>
  <c r="I66" i="37"/>
  <c r="J66" i="37"/>
  <c r="G67" i="37"/>
  <c r="H67" i="37"/>
  <c r="I67" i="37"/>
  <c r="J67" i="37"/>
  <c r="G68" i="37"/>
  <c r="H68" i="37"/>
  <c r="I68" i="37"/>
  <c r="J68" i="37"/>
  <c r="G69" i="37"/>
  <c r="H69" i="37"/>
  <c r="I69" i="37"/>
  <c r="J69" i="37"/>
  <c r="G70" i="37"/>
  <c r="H70" i="37"/>
  <c r="I70" i="37"/>
  <c r="J70" i="37"/>
  <c r="G71" i="37"/>
  <c r="H71" i="37"/>
  <c r="I71" i="37"/>
  <c r="J71" i="37"/>
  <c r="G72" i="37"/>
  <c r="H72" i="37"/>
  <c r="I72" i="37"/>
  <c r="J72" i="37"/>
  <c r="G73" i="37"/>
  <c r="H73" i="37"/>
  <c r="I73" i="37"/>
  <c r="J73" i="37"/>
  <c r="G74" i="37"/>
  <c r="H74" i="37"/>
  <c r="I74" i="37"/>
  <c r="J74" i="37"/>
  <c r="G75" i="37"/>
  <c r="H75" i="37"/>
  <c r="I75" i="37"/>
  <c r="J75" i="37"/>
  <c r="G76" i="37"/>
  <c r="H76" i="37"/>
  <c r="I76" i="37"/>
  <c r="J76" i="37"/>
  <c r="G77" i="37"/>
  <c r="H77" i="37"/>
  <c r="I77" i="37"/>
  <c r="J77" i="37"/>
  <c r="G78" i="37"/>
  <c r="H78" i="37"/>
  <c r="I78" i="37"/>
  <c r="J78" i="37"/>
  <c r="G79" i="37"/>
  <c r="H79" i="37"/>
  <c r="I79" i="37"/>
  <c r="J79" i="37"/>
  <c r="G80" i="37"/>
  <c r="H80" i="37"/>
  <c r="I80" i="37"/>
  <c r="J80" i="37"/>
  <c r="G81" i="37"/>
  <c r="H81" i="37"/>
  <c r="I81" i="37"/>
  <c r="J81" i="37"/>
  <c r="G82" i="37"/>
  <c r="H82" i="37"/>
  <c r="I82" i="37"/>
  <c r="J82" i="37"/>
  <c r="G83" i="37"/>
  <c r="H83" i="37"/>
  <c r="I83" i="37"/>
  <c r="J83" i="37"/>
  <c r="G84" i="37"/>
  <c r="H84" i="37"/>
  <c r="I84" i="37"/>
  <c r="J84" i="37"/>
  <c r="G85" i="37"/>
  <c r="H85" i="37"/>
  <c r="I85" i="37"/>
  <c r="J85" i="37"/>
  <c r="G86" i="37"/>
  <c r="H86" i="37"/>
  <c r="I86" i="37"/>
  <c r="J86" i="37"/>
  <c r="G87" i="37"/>
  <c r="H87" i="37"/>
  <c r="I87" i="37"/>
  <c r="J87" i="37"/>
  <c r="G88" i="37"/>
  <c r="H88" i="37"/>
  <c r="I88" i="37"/>
  <c r="J88" i="37"/>
  <c r="G89" i="37"/>
  <c r="H89" i="37"/>
  <c r="I89" i="37"/>
  <c r="J89" i="37"/>
  <c r="G90" i="37"/>
  <c r="H90" i="37"/>
  <c r="I90" i="37"/>
  <c r="J90" i="37"/>
  <c r="G91" i="37"/>
  <c r="H91" i="37"/>
  <c r="I91" i="37"/>
  <c r="J91" i="37"/>
  <c r="G92" i="37"/>
  <c r="H92" i="37"/>
  <c r="I92" i="37"/>
  <c r="J92" i="37"/>
  <c r="G93" i="37"/>
  <c r="H93" i="37"/>
  <c r="I93" i="37"/>
  <c r="J93" i="37"/>
  <c r="G94" i="37"/>
  <c r="H94" i="37"/>
  <c r="I94" i="37"/>
  <c r="J94" i="37"/>
  <c r="G95" i="37"/>
  <c r="H95" i="37"/>
  <c r="I95" i="37"/>
  <c r="J95" i="37"/>
  <c r="G96" i="37"/>
  <c r="H96" i="37"/>
  <c r="I96" i="37"/>
  <c r="J96" i="37"/>
  <c r="G97" i="37"/>
  <c r="H97" i="37"/>
  <c r="I97" i="37"/>
  <c r="J97" i="37"/>
  <c r="G98" i="37"/>
  <c r="H98" i="37"/>
  <c r="I98" i="37"/>
  <c r="J98" i="37"/>
  <c r="G99" i="37"/>
  <c r="H99" i="37"/>
  <c r="I99" i="37"/>
  <c r="J99" i="37"/>
  <c r="G100" i="37"/>
  <c r="H100" i="37"/>
  <c r="I100" i="37"/>
  <c r="J100" i="37"/>
  <c r="G101" i="37"/>
  <c r="H101" i="37"/>
  <c r="I101" i="37"/>
  <c r="J101" i="37"/>
  <c r="G102" i="37"/>
  <c r="H102" i="37"/>
  <c r="I102" i="37"/>
  <c r="J102" i="37"/>
  <c r="G103" i="37"/>
  <c r="H103" i="37"/>
  <c r="I103" i="37"/>
  <c r="J103" i="37"/>
  <c r="G104" i="37"/>
  <c r="H104" i="37"/>
  <c r="I104" i="37"/>
  <c r="J104" i="37"/>
  <c r="G105" i="37"/>
  <c r="H105" i="37"/>
  <c r="I105" i="37"/>
  <c r="J105" i="37"/>
  <c r="G106" i="37"/>
  <c r="H106" i="37"/>
  <c r="I106" i="37"/>
  <c r="J106" i="37"/>
  <c r="G107" i="37"/>
  <c r="H107" i="37"/>
  <c r="I107" i="37"/>
  <c r="J107" i="37"/>
  <c r="G108" i="37"/>
  <c r="H108" i="37"/>
  <c r="I108" i="37"/>
  <c r="J108" i="37"/>
  <c r="G109" i="37"/>
  <c r="H109" i="37"/>
  <c r="I109" i="37"/>
  <c r="J109" i="37"/>
  <c r="G110" i="37"/>
  <c r="H110" i="37"/>
  <c r="I110" i="37"/>
  <c r="J110" i="37"/>
  <c r="G111" i="37"/>
  <c r="H111" i="37"/>
  <c r="I111" i="37"/>
  <c r="J111" i="37"/>
  <c r="G112" i="37"/>
  <c r="H112" i="37"/>
  <c r="I112" i="37"/>
  <c r="J112" i="37"/>
  <c r="G113" i="37"/>
  <c r="H113" i="37"/>
  <c r="I113" i="37"/>
  <c r="J113" i="37"/>
  <c r="G114" i="37"/>
  <c r="H114" i="37"/>
  <c r="I114" i="37"/>
  <c r="J114" i="37"/>
  <c r="G115" i="37"/>
  <c r="H115" i="37"/>
  <c r="I115" i="37"/>
  <c r="J115" i="37"/>
  <c r="G116" i="37"/>
  <c r="H116" i="37"/>
  <c r="I116" i="37"/>
  <c r="J116" i="37"/>
  <c r="G117" i="37"/>
  <c r="H117" i="37"/>
  <c r="I117" i="37"/>
  <c r="J117" i="37"/>
  <c r="G118" i="37"/>
  <c r="H118" i="37"/>
  <c r="I118" i="37"/>
  <c r="J118" i="37"/>
  <c r="G119" i="37"/>
  <c r="H119" i="37"/>
  <c r="I119" i="37"/>
  <c r="J119" i="37"/>
  <c r="G120" i="37"/>
  <c r="H120" i="37"/>
  <c r="I120" i="37"/>
  <c r="J120" i="37"/>
  <c r="G121" i="37"/>
  <c r="H121" i="37"/>
  <c r="I121" i="37"/>
  <c r="J121" i="37"/>
  <c r="G122" i="37"/>
  <c r="H122" i="37"/>
  <c r="I122" i="37"/>
  <c r="J122" i="37"/>
  <c r="G123" i="37"/>
  <c r="H123" i="37"/>
  <c r="I123" i="37"/>
  <c r="J123" i="37"/>
  <c r="G124" i="37"/>
  <c r="H124" i="37"/>
  <c r="I124" i="37"/>
  <c r="J124" i="37"/>
  <c r="G125" i="37"/>
  <c r="H125" i="37"/>
  <c r="I125" i="37"/>
  <c r="J125" i="37"/>
  <c r="G126" i="37"/>
  <c r="H126" i="37"/>
  <c r="I126" i="37"/>
  <c r="J126" i="37"/>
  <c r="G127" i="37"/>
  <c r="H127" i="37"/>
  <c r="I127" i="37"/>
  <c r="J127" i="37"/>
  <c r="G128" i="37"/>
  <c r="H128" i="37"/>
  <c r="I128" i="37"/>
  <c r="J128" i="37"/>
</calcChain>
</file>

<file path=xl/sharedStrings.xml><?xml version="1.0" encoding="utf-8"?>
<sst xmlns="http://schemas.openxmlformats.org/spreadsheetml/2006/main" count="222" uniqueCount="143">
  <si>
    <t>Totals</t>
  </si>
  <si>
    <t>Price Per Unit</t>
  </si>
  <si>
    <t>Variable Cost Per Unit</t>
  </si>
  <si>
    <t>Variable Costs</t>
  </si>
  <si>
    <t>Gross Margin</t>
  </si>
  <si>
    <t>Projected Unit Sales</t>
  </si>
  <si>
    <t>Assumptions</t>
  </si>
  <si>
    <t>Projected Revenue</t>
  </si>
  <si>
    <t>Seasonality Factor</t>
  </si>
  <si>
    <t>Gross Margin Per Unit</t>
  </si>
  <si>
    <t>Products and Services</t>
  </si>
  <si>
    <t xml:space="preserve">          %</t>
  </si>
  <si>
    <t>Salaries and Wages</t>
  </si>
  <si>
    <t>Estimated Rate Per Hour</t>
  </si>
  <si>
    <t>Social Security</t>
  </si>
  <si>
    <t>Medicare</t>
  </si>
  <si>
    <t>Fixed Operating Expenses</t>
  </si>
  <si>
    <t>Expenses</t>
  </si>
  <si>
    <t>Advertising</t>
  </si>
  <si>
    <t>Insurance (Liability and Property)</t>
  </si>
  <si>
    <t>Total Expenses</t>
  </si>
  <si>
    <t>Total Fixed Operating Expenses</t>
  </si>
  <si>
    <t>Interest Rate</t>
  </si>
  <si>
    <t>Loan Balance</t>
  </si>
  <si>
    <t>Income</t>
  </si>
  <si>
    <t>Total Income</t>
  </si>
  <si>
    <t>Cost of Sales</t>
  </si>
  <si>
    <t>Total Cost of Sales</t>
  </si>
  <si>
    <t>Total Salary and Wages</t>
  </si>
  <si>
    <t>Taxes-Other</t>
  </si>
  <si>
    <t>Miscellaneous</t>
  </si>
  <si>
    <t>May</t>
  </si>
  <si>
    <t>Regular Lemonade</t>
  </si>
  <si>
    <t>Pink Lemonade</t>
  </si>
  <si>
    <t>Monthly Projection</t>
  </si>
  <si>
    <t xml:space="preserve">Payroll  </t>
  </si>
  <si>
    <t>Admin Expenses &amp; Supplies</t>
  </si>
  <si>
    <t>Net Cash Flow</t>
  </si>
  <si>
    <t>Rent</t>
  </si>
  <si>
    <t>Lucy's Lemonade Stand</t>
  </si>
  <si>
    <t>Principle PMT</t>
  </si>
  <si>
    <t>Interest PMT</t>
  </si>
  <si>
    <t>Projected Income Statement 2016</t>
  </si>
  <si>
    <t>Month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</si>
  <si>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</si>
  <si>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</si>
  <si>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</si>
  <si>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</si>
  <si>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</si>
  <si>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</si>
  <si>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</si>
  <si>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</si>
  <si>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</si>
  <si>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</si>
  <si>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</si>
  <si>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Annualized Projection</t>
  </si>
  <si>
    <t xml:space="preserve">Payroll Taxes </t>
  </si>
  <si>
    <t>Payroll Taxes</t>
  </si>
  <si>
    <t>Hours Worked</t>
  </si>
  <si>
    <t>Total Projected Payroll</t>
  </si>
  <si>
    <t>Payroll</t>
  </si>
  <si>
    <t>Salaries and Wages Assumptions</t>
  </si>
  <si>
    <t>Operating Expenses</t>
  </si>
  <si>
    <t>Total Operating Expenses</t>
  </si>
  <si>
    <t>Projected Sales 2016</t>
  </si>
  <si>
    <t>Projected Payroll 2016</t>
  </si>
  <si>
    <t>Projected Operating Expenses 2016</t>
  </si>
  <si>
    <t>Purpose of Financial Model</t>
  </si>
  <si>
    <t>Instructions</t>
  </si>
  <si>
    <t>Cell Identification</t>
  </si>
  <si>
    <t>Example</t>
  </si>
  <si>
    <t>Cells containing numbers in a black font are formula cells.</t>
  </si>
  <si>
    <t>Cells that are highlighted yellow and contain numbers in blue font are input cells.</t>
  </si>
  <si>
    <t>Cells that contain numbers in green font contain references to other worksheets.</t>
  </si>
  <si>
    <t>Loan Assumptions</t>
  </si>
  <si>
    <t>Return Summary</t>
  </si>
  <si>
    <t>Unlevered</t>
  </si>
  <si>
    <t>Levered</t>
  </si>
  <si>
    <t>Uses</t>
  </si>
  <si>
    <t>% Total</t>
  </si>
  <si>
    <t>Purchase Price</t>
  </si>
  <si>
    <t>Rate</t>
  </si>
  <si>
    <t>Closing/Financing</t>
  </si>
  <si>
    <t>Term</t>
  </si>
  <si>
    <t>Total Uses</t>
  </si>
  <si>
    <t>Annual Payment</t>
  </si>
  <si>
    <t>Sources</t>
  </si>
  <si>
    <t>Initial Loan</t>
  </si>
  <si>
    <t>Equity</t>
  </si>
  <si>
    <t>Total Sources</t>
  </si>
  <si>
    <t>Pro Forma Projections</t>
  </si>
  <si>
    <t>Net Operating Income</t>
  </si>
  <si>
    <t xml:space="preserve">  Debt Service</t>
  </si>
  <si>
    <t>DSCR</t>
  </si>
  <si>
    <t>Sale Price</t>
  </si>
  <si>
    <t>Less Closing</t>
  </si>
  <si>
    <t>Proceeds before Debt</t>
  </si>
  <si>
    <t>Debt Repayment</t>
  </si>
  <si>
    <t>Net Proceeds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</si>
  <si>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</si>
  <si>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</si>
  <si>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</si>
  <si>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</si>
  <si>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</si>
  <si>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</si>
  <si>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</si>
  <si>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</si>
  <si>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</si>
  <si>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</si>
  <si>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Unleveraged</t>
  </si>
  <si>
    <t>IRR</t>
  </si>
  <si>
    <t>Multiple</t>
  </si>
  <si>
    <t>Leveraged</t>
  </si>
  <si>
    <t>Loan Amount</t>
  </si>
  <si>
    <t>Year 11</t>
  </si>
  <si>
    <t>Exit Multiple</t>
  </si>
  <si>
    <t>Net Operating Income Growth</t>
  </si>
  <si>
    <t>Growth Rate</t>
  </si>
  <si>
    <t>Effective NOI</t>
  </si>
  <si>
    <t>Total PMT</t>
  </si>
  <si>
    <t>Loan Term</t>
  </si>
  <si>
    <t>Uses and Sources</t>
  </si>
  <si>
    <t>Investment Returns</t>
  </si>
  <si>
    <t>Year 6 IRR</t>
  </si>
  <si>
    <t>Year 6 PV Check</t>
  </si>
  <si>
    <t>Purchase Price and Interest Rate</t>
  </si>
  <si>
    <t>Purchase Price and LTV</t>
  </si>
  <si>
    <t>Purchase Price and Interest Rate Sensitivity</t>
  </si>
  <si>
    <t>Purchase Price and LTV Sensitivity</t>
  </si>
  <si>
    <t>Acquisition Financing</t>
  </si>
  <si>
    <t>Acquisition Sensitivity Tables</t>
  </si>
  <si>
    <t>Acquisition Summary</t>
  </si>
  <si>
    <t>ROE</t>
  </si>
  <si>
    <t>Addl. Equity</t>
  </si>
  <si>
    <t>Unlevered Cumulative</t>
  </si>
  <si>
    <t>Levered Cumulative</t>
  </si>
  <si>
    <t>Peak Capital</t>
  </si>
  <si>
    <t>Year 6 Equity Multiple</t>
  </si>
  <si>
    <t>Worksheets with purple tabs contain financial summaries that automatically update.</t>
  </si>
  <si>
    <t>Worksheets with yellow tabs contain financial projections that require input from the user.</t>
  </si>
  <si>
    <t>This financial model is used to determine the value of a potential lemonade stand acquisition for Lucy.</t>
  </si>
  <si>
    <t>The model utilizes the sales and expense inputs received by the user to automatically consruct a projected Income Statement.</t>
  </si>
  <si>
    <t>The forecasted cash flows are used to determine a valuation of the acquisition target.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</si>
</sst>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&quot;$&quot;* #,##0_);_(&quot;$&quot;* \(#,##0\);_(&quot;$&quot;* &quot;-&quot;??_);_(@_)"/>
    <numFmt numFmtId="166" formatCode="_(* #,##0_);_(* \(#,##0\);_(* &quot;-&quot;??_);_(@_)"/>
    <numFmt numFmtId="167" formatCode="#,##0_);&quot;(&quot;#,##0&quot;)&quot;;&quot;-&quot;_)"/>
    <numFmt numFmtId="168" formatCode="0.0"/>
    <numFmt numFmtId="169" formatCode="0\ &quot;Years&quot;"/>
    <numFmt numFmtId="170" formatCode="&quot;Year&quot;\ 0"/>
    <numFmt numFmtId="171" formatCode="&quot;$&quot;#,##0"/>
    <numFmt numFmtId="172" formatCode="0.000%"/>
    <numFmt numFmtId="173" formatCode="0.0\ &quot;x&quot;"/>
    <numFmt numFmtId="174" formatCode="m/d/yyyy\ \ h:mm\ AM/PM"/>
    <numFmt numFmtId="175" formatCode="mm/yyyy"/>
    <numFmt numFmtId="176" formatCode="[&lt;=9999999]###\-####;\(###\)\ ###\-####"/>
    <numFmt numFmtId="177" formatCode="0.00_)"/>
    <numFmt numFmtId="178" formatCode="&quot;$&quot;#,##0.00"/>
    <numFmt numFmtId="179" formatCode="[$-409]_(m/d/yyyy_);_(@_)"/>
    <numFmt numFmtId="180" formatCode="[$-409]_(mmm\-yyyy_);_(@_)"/>
    <numFmt numFmtId="181" formatCode="[=1]#,##0&quot; Month&quot;;#,##0&quot; Months&quot;"/>
    <numFmt numFmtId="182" formatCode="[=1]#,##0&quot; Year&quot;;#,##0&quot; Years&quot;"/>
    <numFmt numFmtId="183" formatCode="[=1]_(&quot;IN&quot;_);[=0]_(&quot;OUT&quot;_)"/>
    <numFmt numFmtId="184" formatCode="_(&quot;Month &quot;#,##0_);_(&quot;Month &quot;\-#,##0_);_(&quot;Month &quot;#,##0_);_(@_)"/>
    <numFmt numFmtId="185" formatCode="_(* #,##0.0\x_);_(* \(#,##0.0\)\x_);_(* #,##0.0\x_);_(@_)"/>
    <numFmt numFmtId="186" formatCode="_(&quot;Quarter &quot;#,##0_);_(&quot;Quarter &quot;\-#,##0_);_(&quot;Quarter &quot;#,##0_);_(@_)"/>
    <numFmt numFmtId="187" formatCode="_(&quot;Year &quot;#,##0_);_(&quot;Year &quot;\-#,##0_);_(&quot;Year &quot;#,##0_);_(@_)"/>
    <numFmt numFmtId="188" formatCode="_(0000_);_(\(0000\);_(&quot;-&quot;_);_(@_)"/>
    <numFmt numFmtId="189" formatCode="[=1]_(&quot;YES&quot;_);[=0]_(&quot;NO&quot;_)"/>
    <numFmt numFmtId="190" formatCode="_(* #,##0.0_);_(* \(#,##0.0\);_(* &quot;-&quot;??_);_(@_)"/>
    <numFmt numFmtId="191" formatCode=";;;"/>
    <numFmt numFmtId="192" formatCode="#,##0.0_);\(#,##0.0\)"/>
    <numFmt numFmtId="193" formatCode="#,##0\ &quot;F&quot;;[Red]\-#,##0\ &quot;F&quot;"/>
    <numFmt numFmtId="194" formatCode="mmm\-yy_)"/>
    <numFmt numFmtId="195" formatCode="#,##0.00\ &quot;F&quot;;\-#,##0.00\ &quot;F&quot;"/>
    <numFmt numFmtId="196" formatCode="#,##0.00\ &quot;F&quot;;[Red]\-#,##0.00\ &quot;F&quot;"/>
    <numFmt numFmtId="197" formatCode="_-* #,##0\ &quot;F&quot;_-;\-* #,##0\ &quot;F&quot;_-;_-* &quot;-&quot;\ &quot;F&quot;_-;_-@_-"/>
    <numFmt numFmtId="198" formatCode="_-* #,##0\ _F_-;\-* #,##0\ _F_-;_-* &quot;-&quot;\ _F_-;_-@_-"/>
    <numFmt numFmtId="199" formatCode="mm/dd/yy_)"/>
    <numFmt numFmtId="200" formatCode="0.0\ &quot;Year&quot;"/>
    <numFmt numFmtId="201" formatCode="_(\£* #,##0_);_(\£* \(#,##0\);_(\£* &quot;-&quot;_);_(@_)"/>
    <numFmt numFmtId="202" formatCode="_(\£* #,##0.0_);_(\£* \(#,##0.0\);_(\£* &quot;-&quot;_);_(@_)"/>
    <numFmt numFmtId="203" formatCode="_(\£* #,##0.00_);_(\£* \(#,##0.00\);_(\£* &quot;-&quot;_);_(@_)"/>
    <numFmt numFmtId="204" formatCode="_(* #,##0\p_);_(* \(#,##0\p\);_(* &quot;-&quot;\ \p_);_(@_)"/>
    <numFmt numFmtId="205" formatCode="_(* #,##0.00\p_);_(* \(#,##0.00\p\);_(* &quot;-&quot;\ \p_);_(@_)"/>
    <numFmt numFmtId="206" formatCode="\£#,##0.00"/>
    <numFmt numFmtId="207" formatCode="0\ &quot;Year&quot;"/>
    <numFmt numFmtId="208" formatCode="#,##0;\(#,##0\)"/>
    <numFmt numFmtId="209" formatCode="\ \ \ @"/>
    <numFmt numFmtId="210" formatCode="\ \ \ \ \ \ @"/>
    <numFmt numFmtId="211" formatCode="\ \ \ \ \ \ \ \ \ @"/>
    <numFmt numFmtId="212" formatCode="\ \ \ \ \ \ \ \ \ \ \ \ @"/>
    <numFmt numFmtId="213" formatCode="\ \ \ \ \ \ \ \ \ \ \ \ \ \ \ @"/>
    <numFmt numFmtId="214" formatCode="\ \ \ \ \ \ \ \ \ \ \ \ \ \ \ \ \ \ @"/>
    <numFmt numFmtId="215" formatCode="General_)"/>
    <numFmt numFmtId="216" formatCode="\£#,##0_);\(\£#,##0\)"/>
    <numFmt numFmtId="217" formatCode="0.000\ &quot;Years     &quot;"/>
    <numFmt numFmtId="218" formatCode="_-* #,##0.00_-;\-* #,##0.00_-;_-* &quot;-&quot;??_-;_-@_-"/>
    <numFmt numFmtId="219" formatCode="0.00\ &quot;Years&quot;"/>
    <numFmt numFmtId="220" formatCode="0.0\ &quot;Years     &quot;"/>
    <numFmt numFmtId="221" formatCode="_ * #,##0.00_)_£_ ;_ * \(#,##0.00\)_£_ ;_ * &quot;-&quot;??_)_£_ ;_ @_ "/>
    <numFmt numFmtId="222" formatCode="#,##0\ &quot;F&quot;;\-#,##0\ &quot;F&quot;"/>
    <numFmt numFmtId="223" formatCode="0.000_)"/>
    <numFmt numFmtId="224" formatCode="_(* #,##0.0_);_(* \(#,##0.0\)"/>
    <numFmt numFmtId="225" formatCode="#,##0;&quot;\&quot;&quot;\&quot;&quot;\&quot;&quot;\&quot;\(#,##0&quot;\&quot;&quot;\&quot;&quot;\&quot;&quot;\&quot;\)"/>
    <numFmt numFmtId="226" formatCode="_(&quot;$&quot;* #,##0.0_);_(&quot;$&quot;* \(#,##0.0\)"/>
    <numFmt numFmtId="227" formatCode="&quot;$&quot;#,##0\ ;\(&quot;$&quot;#,##0\)"/>
    <numFmt numFmtId="228" formatCode="&quot;\&quot;&quot;\&quot;&quot;\&quot;&quot;\&quot;\$#,##0.00;&quot;\&quot;&quot;\&quot;&quot;\&quot;&quot;\&quot;\(&quot;\&quot;&quot;\&quot;&quot;\&quot;&quot;\&quot;\$#,##0.00&quot;\&quot;&quot;\&quot;&quot;\&quot;&quot;\&quot;\)"/>
    <numFmt numFmtId="229" formatCode="#.##\:\1"/>
    <numFmt numFmtId="230" formatCode="0.00\ &quot;Years     &quot;"/>
    <numFmt numFmtId="231" formatCode="_ * #,##0.00_ ;_ * \-#,##0.00_ ;_ * &quot;-&quot;??_ ;_ @_ "/>
    <numFmt numFmtId="232" formatCode="_([$€-2]* #,##0.00_);_([$€-2]* \(#,##0.00\);_([$€-2]* &quot;-&quot;??_)"/>
    <numFmt numFmtId="233" formatCode="\ \ \ \ \ @"/>
    <numFmt numFmtId="234" formatCode="_(* #,##0.0000_);_(* \(#,##0.0000\);_(* &quot;-&quot;??_);_(@_)"/>
    <numFmt numFmtId="235" formatCode="&quot;$&quot;#,##0.0_);\(&quot;$&quot;#,##0.0\)"/>
    <numFmt numFmtId="236" formatCode="0\ &quot;days&quot;"/>
    <numFmt numFmtId="237" formatCode="0\ &quot;Years     &quot;"/>
    <numFmt numFmtId="238" formatCode="_(&quot;$&quot;* #,##0.000_);_(&quot;$&quot;* \(#,##0.000\);_(&quot;$&quot;* &quot;-&quot;??_);_(@_)"/>
    <numFmt numFmtId="239" formatCode="_-* #,##0_-;\-* #,##0_-;_-* &quot;-&quot;_-;_-@_-"/>
    <numFmt numFmtId="240" formatCode="_-* #,##0\ _D_M_-;\-* #,##0\ _D_M_-;_-* &quot;-&quot;\ _D_M_-;_-@_-"/>
    <numFmt numFmtId="241" formatCode="_-* #,##0.00\ _D_M_-;\-* #,##0.00\ _D_M_-;_-* &quot;-&quot;??\ _D_M_-;_-@_-"/>
    <numFmt numFmtId="242" formatCode="_-* #,##0\ &quot;DM&quot;_-;\-* #,##0\ &quot;DM&quot;_-;_-* &quot;-&quot;\ &quot;DM&quot;_-;_-@_-"/>
    <numFmt numFmtId="243" formatCode="_-* #,##0.00\ &quot;DM&quot;_-;\-* #,##0.00\ &quot;DM&quot;_-;_-* &quot;-&quot;??\ &quot;DM&quot;_-;_-@_-"/>
    <numFmt numFmtId="244" formatCode="_(* #,##0.00\ \x_);_(* \(#,##0.00\ \x\);_(* &quot;-&quot;??_);_(@_)"/>
    <numFmt numFmtId="245" formatCode="_(* #,##0.00\ ___);_(* \(#,##0.00\ __\);_(* &quot;-&quot;??_);_(@_)"/>
    <numFmt numFmtId="246" formatCode="_(* #,##0\ \x_);_(* \(#,##0\ \x\);_(* &quot;-&quot;??_);_(@_)"/>
    <numFmt numFmtId="247" formatCode="_(* #,##0\ ___);_(* \(#,##0\ __\);_(* &quot;-&quot;??_);_(@_)"/>
    <numFmt numFmtId="248" formatCode="_(* #,##0.0\ \x_);_(* \(#,##0.0\ \x\);_(* &quot;-&quot;??_);_(@_)"/>
    <numFmt numFmtId="249" formatCode="_(* #,##0.0\ ___);_(* \(#,##0.0\ __\);_(* &quot;-&quot;??_);_(@_)"/>
    <numFmt numFmtId="250" formatCode="#,##0.0\x_);\(#,##0.0\x\);#,##0.0\x_);@_)"/>
    <numFmt numFmtId="251" formatCode="#,##0.0000_);\(#,##0.0000\)"/>
    <numFmt numFmtId="252" formatCode="0.0000000%"/>
    <numFmt numFmtId="253" formatCode="_-* #,##0\ &quot;DM&quot;_-;\-* #,##0\ &quot;DM&quot;_-;_-* &quot;-&quot;??\ &quot;DM&quot;_-;_-@_-"/>
    <numFmt numFmtId="254" formatCode="#,##0.00000_);\(#,##0.00000\)"/>
    <numFmt numFmtId="255" formatCode="_-* #,##0.0_-;\-* #,##0.0_-;_-* &quot;-&quot;??_-;_-@_-"/>
    <numFmt numFmtId="256" formatCode="_(0.0%;_(* \(0.0\)%"/>
    <numFmt numFmtId="257" formatCode="0.0_%"/>
    <numFmt numFmtId="258" formatCode="#,##0.0\%_);\(#,##0.0\%\);#,##0.0\%_);@_)"/>
    <numFmt numFmtId="259" formatCode="[Blue]#,##0_);[Red]\(#,##0\)"/>
    <numFmt numFmtId="260" formatCode="#,###,;\(#,###,\)"/>
    <numFmt numFmtId="261" formatCode="_(#,##0_);_(\-#,##0_)"/>
    <numFmt numFmtId="262" formatCode="_(#,##0.00_);_(\-#,##0.00_)"/>
    <numFmt numFmtId="263" formatCode="_(#,##0.0_);_(\-#,##0.0_)"/>
    <numFmt numFmtId="264" formatCode="mmm\ yy"/>
    <numFmt numFmtId="265" formatCode="_(* #,##0_);_(* \(#,##0\)"/>
    <numFmt numFmtId="266" formatCode="00000"/>
    <numFmt numFmtId="267" formatCode="_(#,##0.000_);_(\-#,##0.000_)"/>
    <numFmt numFmtId="268" formatCode="_-&quot;£&quot;* #,##0_-;\-&quot;£&quot;* #,##0_-;_-&quot;£&quot;* &quot;-&quot;_-;_-@_-"/>
    <numFmt numFmtId="269" formatCode="_-&quot;£&quot;* #,##0.00_-;\-&quot;£&quot;* #,##0.00_-;_-&quot;£&quot;* &quot;-&quot;??_-;_-@_-"/>
    <numFmt numFmtId="270" formatCode="&quot;CY &quot;yyyy_)"/>
    <numFmt numFmtId="271" formatCode="\¥#,##0_);\(\¥#,##0\)"/>
  </numFmts>
  <fonts count="154">
    <font>
      <sz val="9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9"/>
      <color rgb="FF00B050"/>
      <name val="Arial"/>
      <family val="2"/>
    </font>
    <font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color indexed="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sz val="11"/>
      <color indexed="8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i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u/>
      <sz val="10"/>
      <name val="Tahoma"/>
      <family val="2"/>
    </font>
    <font>
      <sz val="12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i/>
      <sz val="9"/>
      <name val="Tahoma"/>
      <family val="2"/>
    </font>
    <font>
      <sz val="12"/>
      <color indexed="10"/>
      <name val="Helv"/>
    </font>
    <font>
      <b/>
      <i/>
      <sz val="16"/>
      <name val="Helv"/>
    </font>
    <font>
      <sz val="11"/>
      <name val="Calibri"/>
      <family val="2"/>
    </font>
    <font>
      <sz val="9"/>
      <name val="Geneva"/>
      <family val="2"/>
    </font>
    <font>
      <sz val="10"/>
      <name val="Verdana"/>
      <family val="2"/>
    </font>
    <font>
      <i/>
      <sz val="11"/>
      <name val="Calibri"/>
      <family val="2"/>
      <scheme val="minor"/>
    </font>
    <font>
      <i/>
      <sz val="11"/>
      <name val="Calibri"/>
      <family val="2"/>
    </font>
    <font>
      <b/>
      <sz val="24"/>
      <name val="Calibri"/>
      <family val="2"/>
      <scheme val="minor"/>
    </font>
    <font>
      <sz val="12"/>
      <color indexed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1"/>
      <name val="‚l‚r ‚oƒSƒVƒbƒN"/>
      <family val="2"/>
      <charset val="128"/>
    </font>
    <font>
      <sz val="10"/>
      <name val="‚l‚r ‚oƒSƒVƒbƒN"/>
      <family val="3"/>
      <charset val="128"/>
    </font>
    <font>
      <b/>
      <sz val="11"/>
      <name val="Book Antiqua"/>
      <family val="1"/>
    </font>
    <font>
      <sz val="10"/>
      <name val="Courier"/>
      <family val="3"/>
    </font>
    <font>
      <b/>
      <sz val="10"/>
      <name val="Arial"/>
      <family val="2"/>
    </font>
    <font>
      <sz val="12"/>
      <name val="Arial"/>
      <family val="2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b/>
      <sz val="10"/>
      <name val="Times New Roman"/>
      <family val="1"/>
    </font>
    <font>
      <sz val="10"/>
      <color indexed="8"/>
      <name val="Tms Rmn"/>
    </font>
    <font>
      <sz val="10"/>
      <color indexed="12"/>
      <name val="Book Antiqua"/>
      <family val="1"/>
    </font>
    <font>
      <sz val="10"/>
      <color indexed="12"/>
      <name val="Times New Roman"/>
      <family val="1"/>
    </font>
    <font>
      <b/>
      <sz val="12"/>
      <name val="Arial MT"/>
    </font>
    <font>
      <sz val="8"/>
      <name val="Times New Roman"/>
      <family val="1"/>
    </font>
    <font>
      <sz val="10"/>
      <color indexed="8"/>
      <name val="Book Antiqua"/>
      <family val="1"/>
    </font>
    <font>
      <u val="singleAccounting"/>
      <sz val="10"/>
      <name val="Arial"/>
      <family val="2"/>
    </font>
    <font>
      <sz val="32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name val="Tms Rmn"/>
      <family val="1"/>
    </font>
    <font>
      <sz val="10"/>
      <name val="Garmond (W1)"/>
      <family val="1"/>
    </font>
    <font>
      <sz val="8"/>
      <color indexed="12"/>
      <name val="Times New Roman"/>
      <family val="1"/>
    </font>
    <font>
      <sz val="11"/>
      <name val="Book Antiqua"/>
      <family val="1"/>
    </font>
    <font>
      <sz val="10"/>
      <name val="Tms Rmn"/>
    </font>
    <font>
      <sz val="10"/>
      <color indexed="8"/>
      <name val="Arial"/>
      <family val="2"/>
    </font>
    <font>
      <sz val="12"/>
      <color indexed="8"/>
      <name val="Book Antiqua"/>
      <family val="1"/>
    </font>
    <font>
      <sz val="10"/>
      <name val="MS Sans Serif"/>
      <family val="2"/>
    </font>
    <font>
      <b/>
      <sz val="13"/>
      <color indexed="54"/>
      <name val="Arial"/>
      <family val="2"/>
    </font>
    <font>
      <sz val="10"/>
      <color indexed="8"/>
      <name val="Times New Roman"/>
      <family val="1"/>
    </font>
    <font>
      <sz val="10"/>
      <name val="GarmdITC Lt BT"/>
    </font>
    <font>
      <u val="doubleAccounting"/>
      <sz val="10"/>
      <name val="Arial"/>
      <family val="2"/>
    </font>
    <font>
      <i/>
      <sz val="10"/>
      <color indexed="12"/>
      <name val="Times New Roman"/>
      <family val="1"/>
    </font>
    <font>
      <sz val="10"/>
      <name val="Geneva"/>
    </font>
    <font>
      <sz val="12"/>
      <color indexed="9"/>
      <name val="Times New Roman"/>
      <family val="1"/>
    </font>
    <font>
      <sz val="32"/>
      <name val="Times New Roman"/>
      <family val="1"/>
    </font>
    <font>
      <sz val="24"/>
      <name val="Times New Roman"/>
      <family val="1"/>
    </font>
    <font>
      <sz val="18"/>
      <name val="Times New Roman"/>
      <family val="1"/>
    </font>
    <font>
      <sz val="9"/>
      <name val="Times New Roman"/>
      <family val="1"/>
    </font>
    <font>
      <b/>
      <i/>
      <sz val="22"/>
      <name val="Times New Roman"/>
      <family val="1"/>
    </font>
    <font>
      <sz val="24"/>
      <color indexed="8"/>
      <name val="Times New Roman"/>
      <family val="1"/>
    </font>
    <font>
      <b/>
      <u/>
      <sz val="8"/>
      <name val="Arial"/>
      <family val="2"/>
    </font>
    <font>
      <sz val="10"/>
      <color indexed="12"/>
      <name val="Arial"/>
      <family val="2"/>
    </font>
    <font>
      <b/>
      <sz val="22"/>
      <color indexed="18"/>
      <name val="Times New Roman"/>
      <family val="1"/>
    </font>
    <font>
      <sz val="10"/>
      <color indexed="8"/>
      <name val="MS Sans Serif"/>
      <family val="2"/>
    </font>
    <font>
      <sz val="18"/>
      <color indexed="8"/>
      <name val="Times New Roman"/>
      <family val="1"/>
    </font>
    <font>
      <sz val="8"/>
      <name val="Palatino"/>
      <family val="1"/>
    </font>
    <font>
      <sz val="7"/>
      <name val="Small Fonts"/>
      <family val="2"/>
    </font>
    <font>
      <sz val="8"/>
      <color indexed="8"/>
      <name val="MS Sans Serif"/>
      <family val="2"/>
    </font>
    <font>
      <sz val="10"/>
      <name val="Arial CE"/>
      <charset val="238"/>
    </font>
    <font>
      <i/>
      <sz val="12"/>
      <color indexed="8"/>
      <name val="Times New Roman"/>
      <family val="1"/>
    </font>
    <font>
      <i/>
      <sz val="10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0"/>
      <name val="MS Sans Serif"/>
      <family val="2"/>
    </font>
    <font>
      <b/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8"/>
      <name val="Univers (WN)"/>
    </font>
    <font>
      <b/>
      <sz val="6.5"/>
      <name val="MS Sans Serif"/>
      <family val="2"/>
    </font>
    <font>
      <sz val="10"/>
      <color indexed="12"/>
      <name val="TimesNewRomanPS"/>
    </font>
    <font>
      <sz val="10"/>
      <name val="TimesNewRomanPS"/>
    </font>
    <font>
      <sz val="9"/>
      <color indexed="8"/>
      <name val="Times New Roman"/>
      <family val="1"/>
    </font>
    <font>
      <b/>
      <sz val="14"/>
      <color indexed="12"/>
      <name val="Times New Roman"/>
      <family val="1"/>
    </font>
    <font>
      <sz val="10"/>
      <color indexed="9"/>
      <name val="Arial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10"/>
      <name val="Palacio CS ATT"/>
    </font>
    <font>
      <b/>
      <sz val="11"/>
      <color indexed="9"/>
      <name val="Arial"/>
      <family val="2"/>
    </font>
    <font>
      <sz val="8"/>
      <name val="Wingdings"/>
      <charset val="2"/>
    </font>
    <font>
      <sz val="10"/>
      <color rgb="FF000000"/>
      <name val="Arial"/>
      <family val="2"/>
    </font>
    <font>
      <b/>
      <sz val="12"/>
      <color rgb="FF000000"/>
      <name val="Times New Roman"/>
      <family val="1"/>
    </font>
    <font>
      <b/>
      <sz val="12"/>
      <color indexed="60"/>
      <name val="Swis721 Cn BT"/>
      <family val="2"/>
    </font>
    <font>
      <sz val="7"/>
      <name val="Times New Roman"/>
      <family val="1"/>
    </font>
    <font>
      <b/>
      <sz val="11"/>
      <name val="Times New Roman"/>
      <family val="1"/>
    </font>
    <font>
      <b/>
      <sz val="24"/>
      <name val="Calibri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9"/>
      <color indexed="12"/>
      <name val="Arial"/>
      <family val="2"/>
    </font>
    <font>
      <b/>
      <u/>
      <sz val="10"/>
      <name val="Times New Roman"/>
      <family val="1"/>
    </font>
    <font>
      <sz val="11"/>
      <name val="ZapfCalligr BT"/>
      <family val="1"/>
    </font>
    <font>
      <i/>
      <sz val="11"/>
      <name val="Arial"/>
      <family val="2"/>
    </font>
    <font>
      <u/>
      <sz val="11"/>
      <name val="Arial"/>
      <family val="2"/>
    </font>
    <font>
      <i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sz val="11"/>
      <color rgb="FF00B050"/>
      <name val="Arial"/>
      <family val="2"/>
    </font>
    <font>
      <b/>
      <sz val="11"/>
      <color rgb="FF00B05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Gray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9"/>
      </patternFill>
    </fill>
    <fill>
      <patternFill patternType="solid">
        <fgColor indexed="63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hair">
        <color indexed="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/>
      <right/>
      <top style="double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</borders>
  <cellStyleXfs count="3197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5" fillId="9" borderId="0"/>
    <xf numFmtId="14" fontId="40" fillId="0" borderId="0"/>
    <xf numFmtId="0" fontId="39" fillId="10" borderId="0" applyNumberFormat="0">
      <alignment horizontal="center"/>
    </xf>
    <xf numFmtId="43" fontId="36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58" fillId="0" borderId="0" applyFont="0" applyFill="0" applyBorder="0" applyAlignment="0" applyProtection="0"/>
    <xf numFmtId="39" fontId="40" fillId="0" borderId="0">
      <alignment horizontal="right"/>
    </xf>
    <xf numFmtId="174" fontId="3" fillId="0" borderId="0" applyFill="0" applyProtection="0">
      <alignment vertical="center"/>
    </xf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64" fontId="40" fillId="0" borderId="0" applyBorder="0"/>
    <xf numFmtId="0" fontId="38" fillId="0" borderId="0">
      <alignment horizontal="left" indent="2"/>
    </xf>
    <xf numFmtId="38" fontId="6" fillId="11" borderId="0" applyNumberFormat="0" applyBorder="0" applyAlignment="0" applyProtection="0"/>
    <xf numFmtId="0" fontId="36" fillId="0" borderId="0"/>
    <xf numFmtId="0" fontId="41" fillId="0" borderId="0" applyNumberFormat="0" applyFill="0" applyBorder="0" applyAlignment="0" applyProtection="0">
      <alignment horizontal="left"/>
    </xf>
    <xf numFmtId="0" fontId="42" fillId="0" borderId="0" applyNumberFormat="0" applyFill="0" applyBorder="0" applyAlignment="0" applyProtection="0">
      <alignment horizontal="left"/>
    </xf>
    <xf numFmtId="0" fontId="44" fillId="0" borderId="0" applyNumberFormat="0" applyFill="0" applyBorder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Border="0" applyAlignment="0" applyProtection="0">
      <alignment horizontal="left"/>
    </xf>
    <xf numFmtId="0" fontId="47" fillId="0" borderId="0" applyNumberFormat="0" applyFill="0" applyBorder="0" applyAlignment="0" applyProtection="0">
      <alignment horizontal="left"/>
    </xf>
    <xf numFmtId="0" fontId="48" fillId="0" borderId="0" applyNumberFormat="0" applyFill="0" applyBorder="0" applyAlignment="0" applyProtection="0">
      <alignment horizontal="left"/>
    </xf>
    <xf numFmtId="0" fontId="36" fillId="10" borderId="22" applyNumberFormat="0" applyFont="0" applyBorder="0" applyAlignment="0" applyProtection="0"/>
    <xf numFmtId="37" fontId="40" fillId="0" borderId="0" applyBorder="0"/>
    <xf numFmtId="10" fontId="6" fillId="12" borderId="9" applyNumberFormat="0" applyBorder="0" applyAlignment="0" applyProtection="0"/>
    <xf numFmtId="175" fontId="40" fillId="0" borderId="0"/>
    <xf numFmtId="177" fontId="56" fillId="0" borderId="0"/>
    <xf numFmtId="0" fontId="36" fillId="0" borderId="0"/>
    <xf numFmtId="0" fontId="21" fillId="0" borderId="0"/>
    <xf numFmtId="0" fontId="2" fillId="0" borderId="0"/>
    <xf numFmtId="0" fontId="59" fillId="0" borderId="0"/>
    <xf numFmtId="0" fontId="36" fillId="0" borderId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76" fontId="40" fillId="0" borderId="2" applyBorder="0"/>
    <xf numFmtId="9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6" fillId="10" borderId="0" applyNumberFormat="0" applyBorder="0" applyProtection="0">
      <alignment horizontal="center"/>
    </xf>
    <xf numFmtId="0" fontId="49" fillId="0" borderId="0">
      <alignment horizontal="left"/>
    </xf>
    <xf numFmtId="0" fontId="39" fillId="0" borderId="0">
      <alignment horizontal="left" indent="1"/>
    </xf>
    <xf numFmtId="49" fontId="40" fillId="0" borderId="0"/>
    <xf numFmtId="18" fontId="40" fillId="0" borderId="0" applyFill="0" applyProtection="0">
      <alignment horizontal="center"/>
    </xf>
    <xf numFmtId="0" fontId="37" fillId="0" borderId="0">
      <alignment horizontal="center"/>
    </xf>
    <xf numFmtId="0" fontId="38" fillId="0" borderId="0">
      <alignment horizontal="center"/>
    </xf>
    <xf numFmtId="0" fontId="50" fillId="0" borderId="0" applyNumberFormat="0" applyFill="0" applyBorder="0" applyAlignment="0" applyProtection="0">
      <alignment horizontal="left"/>
    </xf>
    <xf numFmtId="0" fontId="43" fillId="0" borderId="0" applyNumberFormat="0" applyFill="0" applyBorder="0" applyAlignment="0" applyProtection="0">
      <alignment horizontal="left"/>
    </xf>
    <xf numFmtId="0" fontId="51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4" fillId="0" borderId="0">
      <alignment horizontal="left"/>
    </xf>
    <xf numFmtId="0" fontId="40" fillId="0" borderId="0" applyNumberFormat="0" applyFill="0" applyBorder="0" applyAlignment="0" applyProtection="0">
      <alignment horizontal="left"/>
    </xf>
    <xf numFmtId="0" fontId="36" fillId="10" borderId="0" applyNumberFormat="0" applyFont="0" applyBorder="0" applyAlignment="0" applyProtection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43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0" fontId="36" fillId="9" borderId="0"/>
    <xf numFmtId="0" fontId="2" fillId="0" borderId="0"/>
    <xf numFmtId="44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62" fillId="0" borderId="3" applyNumberFormat="0" applyFill="0" applyAlignment="0" applyProtection="0"/>
    <xf numFmtId="0" fontId="60" fillId="0" borderId="0" applyNumberFormat="0" applyFill="0" applyProtection="0">
      <alignment horizontal="left" indent="1"/>
    </xf>
    <xf numFmtId="179" fontId="2" fillId="0" borderId="0" applyFont="0" applyFill="0" applyBorder="0" applyAlignment="0" applyProtection="0"/>
    <xf numFmtId="180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183" fontId="20" fillId="0" borderId="0" applyFont="0" applyFill="0" applyBorder="0" applyAlignment="0" applyProtection="0">
      <protection locked="0"/>
    </xf>
    <xf numFmtId="0" fontId="20" fillId="0" borderId="24" applyNumberFormat="0" applyAlignment="0"/>
    <xf numFmtId="184" fontId="2" fillId="0" borderId="0" applyFont="0" applyFill="0" applyBorder="0" applyAlignment="0" applyProtection="0"/>
    <xf numFmtId="185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0" fontId="19" fillId="15" borderId="0" applyNumberFormat="0" applyBorder="0" applyAlignment="0" applyProtection="0"/>
    <xf numFmtId="0" fontId="23" fillId="14" borderId="0" applyNumberFormat="0" applyBorder="0" applyAlignment="0" applyProtection="0"/>
    <xf numFmtId="0" fontId="19" fillId="16" borderId="25" applyNumberFormat="0" applyBorder="0" applyAlignment="0" applyProtection="0"/>
    <xf numFmtId="0" fontId="23" fillId="17" borderId="25" applyNumberFormat="0" applyBorder="0" applyAlignment="0" applyProtection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9" fontId="20" fillId="0" borderId="0" applyFont="0" applyFill="0" applyBorder="0" applyAlignment="0" applyProtection="0">
      <protection locked="0"/>
    </xf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2" fillId="0" borderId="0"/>
    <xf numFmtId="0" fontId="36" fillId="0" borderId="0"/>
    <xf numFmtId="0" fontId="2" fillId="0" borderId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1" fillId="0" borderId="0" applyFont="0" applyFill="0" applyBorder="0" applyAlignment="0" applyProtection="0"/>
    <xf numFmtId="10" fontId="63" fillId="0" borderId="0"/>
    <xf numFmtId="9" fontId="64" fillId="0" borderId="0"/>
    <xf numFmtId="164" fontId="64" fillId="0" borderId="0"/>
    <xf numFmtId="10" fontId="64" fillId="0" borderId="0"/>
    <xf numFmtId="191" fontId="65" fillId="0" borderId="0" applyFont="0" applyFill="0" applyBorder="0" applyAlignment="0"/>
    <xf numFmtId="42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/>
    <xf numFmtId="0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193" fontId="36" fillId="0" borderId="0" applyFont="0" applyFill="0" applyBorder="0" applyAlignment="0" applyProtection="0"/>
    <xf numFmtId="194" fontId="64" fillId="0" borderId="0" applyFont="0" applyFill="0" applyBorder="0" applyAlignment="0" applyProtection="0"/>
    <xf numFmtId="39" fontId="36" fillId="0" borderId="0" applyFont="0" applyFill="0" applyBorder="0" applyAlignment="0" applyProtection="0"/>
    <xf numFmtId="195" fontId="36" fillId="0" borderId="0" applyFont="0" applyFill="0" applyBorder="0" applyAlignment="0" applyProtection="0"/>
    <xf numFmtId="164" fontId="64" fillId="0" borderId="0" applyFont="0" applyFill="0" applyBorder="0" applyAlignment="0" applyProtection="0"/>
    <xf numFmtId="196" fontId="36" fillId="0" borderId="0" applyFont="0" applyFill="0" applyBorder="0" applyAlignment="0" applyProtection="0"/>
    <xf numFmtId="168" fontId="64" fillId="0" borderId="0" applyFont="0" applyFill="0" applyBorder="0" applyAlignment="0" applyProtection="0"/>
    <xf numFmtId="197" fontId="36" fillId="0" borderId="0" applyFont="0" applyFill="0" applyBorder="0" applyAlignment="0" applyProtection="0"/>
    <xf numFmtId="191" fontId="64" fillId="0" borderId="0" applyFont="0" applyFill="0" applyBorder="0" applyAlignment="0" applyProtection="0"/>
    <xf numFmtId="198" fontId="36" fillId="0" borderId="0" applyFont="0" applyFill="0" applyBorder="0" applyAlignment="0" applyProtection="0"/>
    <xf numFmtId="199" fontId="64" fillId="0" borderId="0" applyFont="0" applyFill="0" applyBorder="0" applyAlignment="0" applyProtection="0"/>
    <xf numFmtId="200" fontId="36" fillId="0" borderId="0" applyFont="0" applyFill="0" applyBorder="0" applyAlignment="0" applyProtection="0"/>
    <xf numFmtId="201" fontId="66" fillId="0" borderId="0" applyFont="0" applyFill="0" applyBorder="0" applyAlignment="0" applyProtection="0"/>
    <xf numFmtId="202" fontId="66" fillId="0" borderId="0" applyFont="0" applyFill="0" applyBorder="0" applyAlignment="0" applyProtection="0"/>
    <xf numFmtId="203" fontId="66" fillId="0" borderId="0" applyFont="0" applyFill="0" applyBorder="0" applyAlignment="0" applyProtection="0"/>
    <xf numFmtId="204" fontId="66" fillId="0" borderId="0" applyFont="0" applyFill="0" applyBorder="0" applyAlignment="0" applyProtection="0"/>
    <xf numFmtId="205" fontId="66" fillId="0" borderId="0" applyFont="0" applyFill="0" applyBorder="0" applyAlignment="0" applyProtection="0"/>
    <xf numFmtId="206" fontId="67" fillId="0" borderId="0" applyFont="0" applyFill="0" applyBorder="0" applyAlignment="0" applyProtection="0"/>
    <xf numFmtId="207" fontId="36" fillId="0" borderId="0" applyFont="0" applyFill="0" applyBorder="0" applyAlignment="0" applyProtection="0"/>
    <xf numFmtId="0" fontId="68" fillId="0" borderId="0"/>
    <xf numFmtId="0" fontId="69" fillId="0" borderId="0"/>
    <xf numFmtId="208" fontId="64" fillId="0" borderId="0"/>
    <xf numFmtId="0" fontId="70" fillId="0" borderId="27" applyFont="0" applyFill="0" applyBorder="0" applyAlignment="0" applyProtection="0"/>
    <xf numFmtId="209" fontId="36" fillId="0" borderId="7" applyBorder="0"/>
    <xf numFmtId="210" fontId="36" fillId="0" borderId="7" applyBorder="0"/>
    <xf numFmtId="211" fontId="36" fillId="0" borderId="7"/>
    <xf numFmtId="212" fontId="36" fillId="0" borderId="7"/>
    <xf numFmtId="213" fontId="36" fillId="0" borderId="7"/>
    <xf numFmtId="214" fontId="36" fillId="0" borderId="7"/>
    <xf numFmtId="0" fontId="71" fillId="0" borderId="0"/>
    <xf numFmtId="0" fontId="6" fillId="0" borderId="0" applyNumberFormat="0" applyAlignment="0"/>
    <xf numFmtId="0" fontId="72" fillId="10" borderId="28">
      <alignment horizontal="center" vertical="center"/>
    </xf>
    <xf numFmtId="0" fontId="72" fillId="10" borderId="28">
      <alignment horizontal="center" vertical="center"/>
    </xf>
    <xf numFmtId="0" fontId="36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3" applyFont="0">
      <alignment horizontal="centerContinuous"/>
    </xf>
    <xf numFmtId="0" fontId="75" fillId="0" borderId="0"/>
    <xf numFmtId="9" fontId="63" fillId="0" borderId="0"/>
    <xf numFmtId="0" fontId="63" fillId="0" borderId="0"/>
    <xf numFmtId="0" fontId="63" fillId="0" borderId="0"/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215" fontId="76" fillId="0" borderId="0" applyNumberFormat="0" applyFont="0" applyAlignment="0">
      <alignment horizontal="left" indent="1"/>
    </xf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0" fontId="75" fillId="0" borderId="0"/>
    <xf numFmtId="0" fontId="75" fillId="0" borderId="0"/>
    <xf numFmtId="0" fontId="63" fillId="0" borderId="0"/>
    <xf numFmtId="0" fontId="63" fillId="0" borderId="0"/>
    <xf numFmtId="0" fontId="36" fillId="0" borderId="0"/>
    <xf numFmtId="0" fontId="64" fillId="0" borderId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7" fontId="79" fillId="0" borderId="0">
      <alignment horizontal="right"/>
      <protection locked="0"/>
    </xf>
    <xf numFmtId="0" fontId="64" fillId="0" borderId="0"/>
    <xf numFmtId="0" fontId="80" fillId="0" borderId="27"/>
    <xf numFmtId="0" fontId="74" fillId="0" borderId="3" applyNumberFormat="0" applyFill="0" applyAlignment="0" applyProtection="0"/>
    <xf numFmtId="0" fontId="74" fillId="0" borderId="3" applyNumberFormat="0" applyFill="0" applyAlignment="0" applyProtection="0"/>
    <xf numFmtId="0" fontId="81" fillId="0" borderId="2" applyNumberFormat="0" applyFont="0" applyFill="0" applyAlignment="0" applyProtection="0"/>
    <xf numFmtId="215" fontId="65" fillId="0" borderId="29" applyNumberFormat="0" applyFont="0" applyAlignment="0" applyProtection="0"/>
    <xf numFmtId="0" fontId="82" fillId="0" borderId="3" applyNumberFormat="0" applyFont="0" applyFill="0" applyAlignment="0" applyProtection="0"/>
    <xf numFmtId="0" fontId="82" fillId="0" borderId="3" applyNumberFormat="0" applyFont="0" applyFill="0" applyAlignment="0" applyProtection="0"/>
    <xf numFmtId="0" fontId="71" fillId="0" borderId="27"/>
    <xf numFmtId="0" fontId="75" fillId="0" borderId="13"/>
    <xf numFmtId="0" fontId="75" fillId="0" borderId="13"/>
    <xf numFmtId="216" fontId="83" fillId="0" borderId="0" applyFont="0" applyFill="0" applyBorder="0" applyAlignment="0" applyProtection="0"/>
    <xf numFmtId="0" fontId="64" fillId="0" borderId="3">
      <alignment horizontal="centerContinuous"/>
    </xf>
    <xf numFmtId="0" fontId="64" fillId="0" borderId="3">
      <alignment horizontal="centerContinuous"/>
    </xf>
    <xf numFmtId="0" fontId="84" fillId="0" borderId="2" applyBorder="0">
      <alignment horizontal="centerContinuous"/>
    </xf>
    <xf numFmtId="217" fontId="36" fillId="0" borderId="0" applyFont="0" applyFill="0" applyBorder="0" applyAlignment="0" applyProtection="0"/>
    <xf numFmtId="0" fontId="63" fillId="0" borderId="0"/>
    <xf numFmtId="0" fontId="63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63" fillId="0" borderId="0"/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37" fontId="64" fillId="0" borderId="0">
      <alignment horizontal="center"/>
    </xf>
    <xf numFmtId="220" fontId="36" fillId="0" borderId="0"/>
    <xf numFmtId="193" fontId="36" fillId="0" borderId="0" applyFill="0" applyBorder="0" applyAlignment="0"/>
    <xf numFmtId="193" fontId="36" fillId="0" borderId="0" applyFill="0" applyBorder="0" applyAlignment="0"/>
    <xf numFmtId="221" fontId="36" fillId="0" borderId="0" applyFill="0" applyBorder="0" applyAlignment="0"/>
    <xf numFmtId="222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77" fontId="6" fillId="18" borderId="0" applyNumberFormat="0" applyFont="0" applyBorder="0" applyAlignment="0">
      <protection locked="0"/>
    </xf>
    <xf numFmtId="0" fontId="74" fillId="0" borderId="3">
      <alignment horizontal="center"/>
    </xf>
    <xf numFmtId="0" fontId="74" fillId="0" borderId="3">
      <alignment horizontal="center"/>
    </xf>
    <xf numFmtId="166" fontId="64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40" fontId="28" fillId="0" borderId="0" applyFont="0"/>
    <xf numFmtId="166" fontId="87" fillId="0" borderId="30"/>
    <xf numFmtId="166" fontId="87" fillId="0" borderId="30"/>
    <xf numFmtId="193" fontId="36" fillId="0" borderId="0" applyFont="0" applyFill="0" applyBorder="0" applyAlignment="0" applyProtection="0"/>
    <xf numFmtId="224" fontId="88" fillId="0" borderId="0" applyFont="0" applyFill="0" applyBorder="0" applyAlignment="0" applyProtection="0"/>
    <xf numFmtId="40" fontId="89" fillId="0" borderId="0" applyFont="0" applyFill="0" applyBorder="0" applyAlignment="0" applyProtection="0"/>
    <xf numFmtId="3" fontId="90" fillId="0" borderId="0" applyFont="0" applyFill="0" applyBorder="0" applyAlignment="0" applyProtection="0"/>
    <xf numFmtId="4" fontId="9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225" fontId="65" fillId="0" borderId="0"/>
    <xf numFmtId="3" fontId="91" fillId="0" borderId="0" applyFont="0" applyFill="0" applyBorder="0" applyAlignment="0" applyProtection="0"/>
    <xf numFmtId="8" fontId="36" fillId="0" borderId="0">
      <protection locked="0"/>
    </xf>
    <xf numFmtId="193" fontId="36" fillId="0" borderId="0" applyFont="0" applyFill="0" applyBorder="0" applyAlignment="0" applyProtection="0"/>
    <xf numFmtId="226" fontId="66" fillId="0" borderId="0" applyFont="0" applyFill="0" applyBorder="0" applyAlignment="0" applyProtection="0"/>
    <xf numFmtId="0" fontId="92" fillId="0" borderId="0" applyFont="0" applyFill="0" applyBorder="0" applyAlignment="0" applyProtection="0"/>
    <xf numFmtId="6" fontId="90" fillId="0" borderId="0" applyFont="0" applyFill="0" applyBorder="0" applyAlignment="0" applyProtection="0"/>
    <xf numFmtId="8" fontId="90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165" fontId="87" fillId="0" borderId="30"/>
    <xf numFmtId="165" fontId="87" fillId="0" borderId="30"/>
    <xf numFmtId="227" fontId="91" fillId="0" borderId="0" applyFont="0" applyFill="0" applyBorder="0" applyAlignment="0" applyProtection="0"/>
    <xf numFmtId="228" fontId="65" fillId="0" borderId="0"/>
    <xf numFmtId="190" fontId="63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229" fontId="90" fillId="0" borderId="0" applyFont="0" applyFill="0" applyBorder="0" applyAlignment="0" applyProtection="0"/>
    <xf numFmtId="230" fontId="36" fillId="0" borderId="0" applyFont="0" applyFill="0" applyBorder="0" applyAlignment="0" applyProtection="0"/>
    <xf numFmtId="0" fontId="9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4" fontId="91" fillId="0" borderId="0" applyFill="0" applyBorder="0" applyAlignment="0"/>
    <xf numFmtId="0" fontId="36" fillId="0" borderId="0">
      <protection locked="0"/>
    </xf>
    <xf numFmtId="37" fontId="63" fillId="0" borderId="0" applyProtection="0">
      <protection locked="0"/>
    </xf>
    <xf numFmtId="38" fontId="93" fillId="0" borderId="31">
      <alignment vertical="center"/>
    </xf>
    <xf numFmtId="37" fontId="71" fillId="0" borderId="32"/>
    <xf numFmtId="37" fontId="71" fillId="0" borderId="32"/>
    <xf numFmtId="231" fontId="36" fillId="0" borderId="0" applyFont="0" applyFill="0" applyBorder="0" applyAlignment="0" applyProtection="0"/>
    <xf numFmtId="3" fontId="94" fillId="0" borderId="0">
      <alignment horizontal="left"/>
    </xf>
    <xf numFmtId="5" fontId="95" fillId="0" borderId="0"/>
    <xf numFmtId="0" fontId="65" fillId="0" borderId="0"/>
    <xf numFmtId="178" fontId="67" fillId="0" borderId="0" applyFont="0" applyFill="0" applyBorder="0" applyAlignment="0" applyProtection="0"/>
    <xf numFmtId="4" fontId="64" fillId="0" borderId="0" applyFont="0" applyFill="0" applyBorder="0" applyAlignment="0" applyProtection="0"/>
    <xf numFmtId="0" fontId="96" fillId="0" borderId="3" applyNumberFormat="0" applyFont="0" applyAlignment="0" applyProtection="0">
      <protection locked="0"/>
    </xf>
    <xf numFmtId="0" fontId="96" fillId="0" borderId="3" applyNumberFormat="0" applyFont="0" applyAlignment="0" applyProtection="0">
      <protection locked="0"/>
    </xf>
    <xf numFmtId="42" fontId="97" fillId="0" borderId="0" applyFill="0" applyBorder="0" applyAlignment="0" applyProtection="0"/>
    <xf numFmtId="164" fontId="98" fillId="0" borderId="0">
      <alignment horizontal="right"/>
    </xf>
    <xf numFmtId="190" fontId="63" fillId="0" borderId="13">
      <alignment horizontal="right"/>
    </xf>
    <xf numFmtId="190" fontId="63" fillId="0" borderId="13">
      <alignment horizontal="right"/>
    </xf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232" fontId="36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90" fontId="75" fillId="0" borderId="0">
      <alignment horizontal="right"/>
    </xf>
    <xf numFmtId="166" fontId="75" fillId="0" borderId="0">
      <alignment horizontal="right"/>
    </xf>
    <xf numFmtId="6" fontId="3" fillId="0" borderId="0"/>
    <xf numFmtId="1" fontId="90" fillId="0" borderId="0" applyFont="0" applyFill="0" applyBorder="0" applyAlignment="0" applyProtection="0"/>
    <xf numFmtId="168" fontId="90" fillId="0" borderId="0" applyFont="0" applyFill="0" applyBorder="0" applyAlignment="0" applyProtection="0"/>
    <xf numFmtId="2" fontId="90" fillId="0" borderId="0" applyFont="0" applyFill="0" applyBorder="0" applyAlignment="0" applyProtection="0"/>
    <xf numFmtId="2" fontId="91" fillId="0" borderId="0" applyFont="0" applyFill="0" applyBorder="0" applyAlignment="0" applyProtection="0"/>
    <xf numFmtId="0" fontId="75" fillId="0" borderId="0" applyProtection="0">
      <alignment horizontal="left"/>
    </xf>
    <xf numFmtId="233" fontId="65" fillId="0" borderId="0"/>
    <xf numFmtId="0" fontId="99" fillId="0" borderId="0"/>
    <xf numFmtId="0" fontId="100" fillId="0" borderId="0" applyNumberFormat="0" applyFill="0" applyProtection="0">
      <alignment horizontal="left"/>
    </xf>
    <xf numFmtId="0" fontId="64" fillId="19" borderId="0"/>
    <xf numFmtId="220" fontId="36" fillId="0" borderId="0"/>
    <xf numFmtId="220" fontId="36" fillId="0" borderId="0"/>
    <xf numFmtId="220" fontId="36" fillId="0" borderId="0"/>
    <xf numFmtId="220" fontId="36" fillId="0" borderId="0"/>
    <xf numFmtId="0" fontId="101" fillId="0" borderId="2">
      <alignment horizontal="centerContinuous"/>
    </xf>
    <xf numFmtId="0" fontId="102" fillId="0" borderId="0">
      <alignment horizontal="centerContinuous"/>
    </xf>
    <xf numFmtId="0" fontId="103" fillId="0" borderId="0" applyFont="0">
      <alignment horizontal="centerContinuous"/>
    </xf>
    <xf numFmtId="0" fontId="72" fillId="0" borderId="0" applyFont="0" applyAlignment="0"/>
    <xf numFmtId="0" fontId="4" fillId="0" borderId="17" applyNumberFormat="0" applyAlignment="0" applyProtection="0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72" fillId="0" borderId="0"/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0" fillId="0" borderId="0" applyNumberFormat="0" applyFill="0" applyProtection="0">
      <alignment horizontal="left" indent="1"/>
    </xf>
    <xf numFmtId="172" fontId="36" fillId="0" borderId="0">
      <protection locked="0"/>
    </xf>
    <xf numFmtId="172" fontId="36" fillId="0" borderId="0">
      <protection locked="0"/>
    </xf>
    <xf numFmtId="0" fontId="104" fillId="0" borderId="0"/>
    <xf numFmtId="0" fontId="105" fillId="0" borderId="1" applyNumberFormat="0" applyFill="0" applyBorder="0" applyAlignment="0" applyProtection="0">
      <alignment horizontal="left"/>
    </xf>
    <xf numFmtId="0" fontId="106" fillId="0" borderId="2">
      <alignment horizontal="centerContinuous"/>
    </xf>
    <xf numFmtId="191" fontId="107" fillId="0" borderId="0" applyFont="0" applyFill="0" applyBorder="0" applyAlignment="0" applyProtection="0"/>
    <xf numFmtId="0" fontId="108" fillId="0" borderId="33" applyNumberFormat="0" applyFill="0" applyAlignment="0" applyProtection="0"/>
    <xf numFmtId="0" fontId="74" fillId="0" borderId="0" applyFont="0" applyAlignment="0">
      <alignment horizontal="centerContinuous"/>
    </xf>
    <xf numFmtId="0" fontId="63" fillId="0" borderId="9">
      <alignment horizontal="centerContinuous"/>
    </xf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0">
      <protection locked="0"/>
    </xf>
    <xf numFmtId="183" fontId="57" fillId="0" borderId="0" applyFont="0" applyFill="0" applyBorder="0" applyAlignment="0" applyProtection="0">
      <protection locked="0"/>
    </xf>
    <xf numFmtId="183" fontId="57" fillId="0" borderId="0" applyFont="0" applyFill="0" applyBorder="0" applyAlignment="0" applyProtection="0">
      <protection locked="0"/>
    </xf>
    <xf numFmtId="183" fontId="57" fillId="0" borderId="0" applyFont="0" applyFill="0" applyBorder="0" applyAlignment="0" applyProtection="0">
      <protection locked="0"/>
    </xf>
    <xf numFmtId="183" fontId="20" fillId="0" borderId="0" applyFont="0" applyFill="0" applyBorder="0" applyAlignment="0" applyProtection="0">
      <protection locked="0"/>
    </xf>
    <xf numFmtId="10" fontId="6" fillId="12" borderId="9" applyNumberFormat="0" applyBorder="0" applyAlignment="0" applyProtection="0"/>
    <xf numFmtId="0" fontId="108" fillId="0" borderId="0" applyNumberFormat="0" applyFill="0" applyBorder="0" applyAlignment="0">
      <protection locked="0"/>
    </xf>
    <xf numFmtId="0" fontId="63" fillId="0" borderId="0" applyNumberFormat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0" fontId="99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34" fontId="36" fillId="0" borderId="0">
      <alignment horizontal="right"/>
    </xf>
    <xf numFmtId="234" fontId="36" fillId="0" borderId="0">
      <alignment horizontal="right"/>
    </xf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234" fontId="36" fillId="0" borderId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38" fontId="65" fillId="0" borderId="0"/>
    <xf numFmtId="37" fontId="109" fillId="0" borderId="0">
      <alignment horizontal="center"/>
    </xf>
    <xf numFmtId="38" fontId="76" fillId="1" borderId="3"/>
    <xf numFmtId="38" fontId="76" fillId="1" borderId="3"/>
    <xf numFmtId="0" fontId="36" fillId="0" borderId="0" applyNumberFormat="0" applyFill="0" applyBorder="0" applyAlignment="0" applyProtection="0"/>
    <xf numFmtId="41" fontId="110" fillId="0" borderId="0" applyFont="0" applyFill="0" applyBorder="0" applyAlignment="0" applyProtection="0"/>
    <xf numFmtId="239" fontId="36" fillId="0" borderId="0" applyFont="0" applyFill="0" applyBorder="0" applyAlignment="0" applyProtection="0"/>
    <xf numFmtId="43" fontId="110" fillId="0" borderId="0" applyFont="0" applyFill="0" applyBorder="0" applyAlignment="0" applyProtection="0"/>
    <xf numFmtId="240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2" fontId="36" fillId="0" borderId="0" applyFont="0" applyFill="0" applyBorder="0" applyAlignment="0" applyProtection="0"/>
    <xf numFmtId="243" fontId="36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111" fillId="0" borderId="0">
      <alignment horizontal="centerContinuous"/>
    </xf>
    <xf numFmtId="244" fontId="8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245" fontId="64" fillId="0" borderId="0" applyFont="0" applyFill="0" applyBorder="0" applyAlignment="0" applyProtection="0"/>
    <xf numFmtId="246" fontId="81" fillId="0" borderId="0" applyFont="0" applyFill="0" applyBorder="0" applyAlignment="0" applyProtection="0"/>
    <xf numFmtId="247" fontId="64" fillId="0" borderId="0" applyFont="0" applyFill="0" applyBorder="0" applyAlignment="0" applyProtection="0"/>
    <xf numFmtId="248" fontId="64" fillId="0" borderId="0" applyFont="0" applyFill="0" applyBorder="0" applyAlignment="0" applyProtection="0"/>
    <xf numFmtId="249" fontId="64" fillId="0" borderId="0" applyFont="0" applyFill="0" applyBorder="0" applyAlignment="0" applyProtection="0"/>
    <xf numFmtId="250" fontId="112" fillId="0" borderId="0" applyFont="0" applyFill="0" applyBorder="0" applyProtection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1" fontId="36" fillId="0" borderId="0"/>
    <xf numFmtId="252" fontId="36" fillId="0" borderId="0"/>
    <xf numFmtId="0" fontId="99" fillId="0" borderId="0"/>
    <xf numFmtId="252" fontId="36" fillId="0" borderId="0"/>
    <xf numFmtId="252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1" fontId="36" fillId="0" borderId="0"/>
    <xf numFmtId="252" fontId="36" fillId="0" borderId="0"/>
    <xf numFmtId="0" fontId="99" fillId="0" borderId="0"/>
    <xf numFmtId="252" fontId="36" fillId="0" borderId="0"/>
    <xf numFmtId="252" fontId="36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64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38" fontId="72" fillId="0" borderId="0"/>
    <xf numFmtId="0" fontId="75" fillId="0" borderId="0">
      <alignment horizontal="left"/>
    </xf>
    <xf numFmtId="37" fontId="113" fillId="0" borderId="0"/>
    <xf numFmtId="37" fontId="114" fillId="0" borderId="9"/>
    <xf numFmtId="37" fontId="114" fillId="0" borderId="9"/>
    <xf numFmtId="37" fontId="114" fillId="0" borderId="9"/>
    <xf numFmtId="253" fontId="36" fillId="0" borderId="0"/>
    <xf numFmtId="177" fontId="56" fillId="0" borderId="0"/>
    <xf numFmtId="253" fontId="36" fillId="0" borderId="0"/>
    <xf numFmtId="0" fontId="2" fillId="0" borderId="0"/>
    <xf numFmtId="0" fontId="2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91" fillId="0" borderId="0">
      <alignment vertical="top"/>
    </xf>
    <xf numFmtId="0" fontId="36" fillId="9" borderId="0"/>
    <xf numFmtId="0" fontId="36" fillId="9" borderId="0"/>
    <xf numFmtId="0" fontId="36" fillId="0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14" fillId="0" borderId="0"/>
    <xf numFmtId="0" fontId="91" fillId="0" borderId="0"/>
    <xf numFmtId="0" fontId="115" fillId="0" borderId="0"/>
    <xf numFmtId="0" fontId="36" fillId="0" borderId="0"/>
    <xf numFmtId="0" fontId="65" fillId="0" borderId="0"/>
    <xf numFmtId="0" fontId="2" fillId="5" borderId="18" applyNumberFormat="0" applyFont="0" applyAlignment="0" applyProtection="0"/>
    <xf numFmtId="0" fontId="74" fillId="0" borderId="27" applyFont="0" applyBorder="0" applyAlignment="0">
      <alignment horizontal="centerContinuous"/>
    </xf>
    <xf numFmtId="0" fontId="64" fillId="0" borderId="0" applyNumberFormat="0" applyFont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43" fontId="36" fillId="0" borderId="0" applyFont="0" applyFill="0" applyBorder="0" applyAlignment="0" applyProtection="0"/>
    <xf numFmtId="41" fontId="36" fillId="0" borderId="0" applyFont="0" applyFill="0" applyBorder="0" applyAlignment="0" applyProtection="0"/>
    <xf numFmtId="164" fontId="116" fillId="0" borderId="0" applyNumberFormat="0" applyFont="0" applyBorder="0"/>
    <xf numFmtId="254" fontId="36" fillId="0" borderId="0">
      <alignment horizontal="right"/>
    </xf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0" fontId="64" fillId="0" borderId="7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64" fontId="117" fillId="0" borderId="0"/>
    <xf numFmtId="164" fontId="117" fillId="0" borderId="0" applyProtection="0">
      <alignment horizontal="right"/>
    </xf>
    <xf numFmtId="164" fontId="117" fillId="0" borderId="0"/>
    <xf numFmtId="164" fontId="117" fillId="0" borderId="0" applyProtection="0">
      <alignment horizontal="right"/>
    </xf>
    <xf numFmtId="164" fontId="117" fillId="0" borderId="0"/>
    <xf numFmtId="164" fontId="117" fillId="0" borderId="0" applyProtection="0">
      <alignment horizontal="right"/>
    </xf>
    <xf numFmtId="164" fontId="117" fillId="0" borderId="0"/>
    <xf numFmtId="0" fontId="118" fillId="0" borderId="0" applyProtection="0">
      <alignment horizontal="left"/>
    </xf>
    <xf numFmtId="0" fontId="118" fillId="0" borderId="0" applyFill="0" applyBorder="0" applyProtection="0">
      <alignment horizontal="left"/>
    </xf>
    <xf numFmtId="0" fontId="119" fillId="0" borderId="0" applyFill="0" applyBorder="0" applyProtection="0">
      <alignment horizontal="left"/>
    </xf>
    <xf numFmtId="0" fontId="76" fillId="0" borderId="34" applyNumberFormat="0" applyAlignment="0" applyProtection="0"/>
    <xf numFmtId="0" fontId="65" fillId="20" borderId="0" applyNumberFormat="0" applyFont="0" applyBorder="0" applyAlignment="0" applyProtection="0"/>
    <xf numFmtId="0" fontId="6" fillId="21" borderId="10" applyNumberFormat="0" applyFont="0" applyBorder="0" applyAlignment="0" applyProtection="0">
      <alignment horizontal="center"/>
    </xf>
    <xf numFmtId="0" fontId="6" fillId="10" borderId="10" applyNumberFormat="0" applyFont="0" applyBorder="0" applyAlignment="0" applyProtection="0">
      <alignment horizontal="center"/>
    </xf>
    <xf numFmtId="0" fontId="65" fillId="0" borderId="35" applyNumberFormat="0" applyAlignment="0" applyProtection="0"/>
    <xf numFmtId="0" fontId="65" fillId="0" borderId="36" applyNumberFormat="0" applyAlignment="0" applyProtection="0"/>
    <xf numFmtId="0" fontId="76" fillId="0" borderId="37" applyNumberFormat="0" applyAlignment="0" applyProtection="0"/>
    <xf numFmtId="164" fontId="98" fillId="0" borderId="0">
      <alignment horizontal="right"/>
    </xf>
    <xf numFmtId="164" fontId="75" fillId="0" borderId="0"/>
    <xf numFmtId="164" fontId="116" fillId="0" borderId="0"/>
    <xf numFmtId="9" fontId="36" fillId="0" borderId="0">
      <protection locked="0"/>
    </xf>
    <xf numFmtId="10" fontId="36" fillId="0" borderId="0">
      <protection locked="0"/>
    </xf>
    <xf numFmtId="193" fontId="36" fillId="0" borderId="0" applyFont="0" applyFill="0" applyBorder="0" applyAlignment="0" applyProtection="0"/>
    <xf numFmtId="255" fontId="36" fillId="0" borderId="0" applyFont="0" applyFill="0" applyBorder="0" applyAlignment="0" applyProtection="0"/>
    <xf numFmtId="256" fontId="64" fillId="0" borderId="0" applyFont="0" applyFill="0" applyBorder="0" applyAlignment="0" applyProtection="0"/>
    <xf numFmtId="257" fontId="64" fillId="0" borderId="0" applyFont="0" applyFill="0" applyBorder="0" applyAlignment="0" applyProtection="0"/>
    <xf numFmtId="0" fontId="120" fillId="0" borderId="0" applyFont="0" applyFill="0" applyBorder="0" applyAlignment="0" applyProtection="0"/>
    <xf numFmtId="9" fontId="90" fillId="0" borderId="0" applyFont="0" applyFill="0" applyBorder="0" applyAlignment="0" applyProtection="0"/>
    <xf numFmtId="164" fontId="90" fillId="0" borderId="0" applyFont="0" applyFill="0" applyBorder="0" applyAlignment="0" applyProtection="0"/>
    <xf numFmtId="10" fontId="9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258" fontId="81" fillId="0" borderId="0" applyFont="0" applyFill="0" applyBorder="0" applyProtection="0">
      <alignment horizontal="right"/>
    </xf>
    <xf numFmtId="9" fontId="87" fillId="0" borderId="30"/>
    <xf numFmtId="9" fontId="87" fillId="0" borderId="30"/>
    <xf numFmtId="0" fontId="75" fillId="0" borderId="0" applyNumberFormat="0" applyFont="0"/>
    <xf numFmtId="164" fontId="117" fillId="0" borderId="0">
      <alignment horizontal="right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10" fontId="63" fillId="0" borderId="0"/>
    <xf numFmtId="9" fontId="63" fillId="0" borderId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0" fontId="93" fillId="0" borderId="0" applyNumberFormat="0" applyFont="0" applyFill="0" applyBorder="0" applyAlignment="0" applyProtection="0">
      <alignment horizontal="left"/>
    </xf>
    <xf numFmtId="15" fontId="93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122" fillId="0" borderId="2">
      <alignment horizontal="center"/>
    </xf>
    <xf numFmtId="3" fontId="93" fillId="0" borderId="0" applyFont="0" applyFill="0" applyBorder="0" applyAlignment="0" applyProtection="0"/>
    <xf numFmtId="0" fontId="93" fillId="22" borderId="0" applyNumberFormat="0" applyFont="0" applyBorder="0" applyAlignment="0" applyProtection="0"/>
    <xf numFmtId="0" fontId="75" fillId="0" borderId="13"/>
    <xf numFmtId="0" fontId="75" fillId="0" borderId="13"/>
    <xf numFmtId="2" fontId="64" fillId="0" borderId="0"/>
    <xf numFmtId="0" fontId="123" fillId="0" borderId="3"/>
    <xf numFmtId="0" fontId="123" fillId="0" borderId="3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90" fontId="124" fillId="0" borderId="0">
      <alignment horizontal="right"/>
    </xf>
    <xf numFmtId="259" fontId="125" fillId="23" borderId="38">
      <alignment vertical="center"/>
    </xf>
    <xf numFmtId="10" fontId="75" fillId="0" borderId="9"/>
    <xf numFmtId="10" fontId="75" fillId="0" borderId="9"/>
    <xf numFmtId="10" fontId="75" fillId="0" borderId="9"/>
    <xf numFmtId="10" fontId="116" fillId="0" borderId="0"/>
    <xf numFmtId="2" fontId="64" fillId="0" borderId="0">
      <alignment horizontal="right"/>
    </xf>
    <xf numFmtId="0" fontId="126" fillId="24" borderId="0" applyNumberFormat="0" applyFont="0" applyFill="0" applyBorder="0" applyAlignment="0" applyProtection="0"/>
    <xf numFmtId="0" fontId="126" fillId="19" borderId="0" applyNumberFormat="0" applyFont="0" applyFill="0" applyBorder="0" applyAlignment="0" applyProtection="0"/>
    <xf numFmtId="0" fontId="65" fillId="0" borderId="0">
      <alignment horizontal="center"/>
    </xf>
    <xf numFmtId="0" fontId="65" fillId="0" borderId="0">
      <alignment horizontal="center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0"/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65" fillId="0" borderId="0">
      <alignment horizontal="center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0" fillId="0" borderId="26"/>
    <xf numFmtId="0" fontId="127" fillId="0" borderId="0">
      <protection locked="0"/>
    </xf>
    <xf numFmtId="0" fontId="128" fillId="0" borderId="0"/>
    <xf numFmtId="0" fontId="65" fillId="25" borderId="0" applyNumberFormat="0" applyFont="0" applyBorder="0" applyAlignment="0" applyProtection="0"/>
    <xf numFmtId="0" fontId="79" fillId="26" borderId="0" applyNumberFormat="0" applyFont="0" applyBorder="0" applyAlignment="0" applyProtection="0"/>
    <xf numFmtId="260" fontId="129" fillId="0" borderId="0" applyFont="0" applyFill="0" applyBorder="0" applyAlignment="0" applyProtection="0"/>
    <xf numFmtId="42" fontId="83" fillId="0" borderId="0" applyFill="0" applyBorder="0" applyAlignment="0" applyProtection="0"/>
    <xf numFmtId="0" fontId="130" fillId="0" borderId="27">
      <alignment horizontal="center"/>
    </xf>
    <xf numFmtId="190" fontId="123" fillId="0" borderId="39">
      <alignment horizontal="right"/>
    </xf>
    <xf numFmtId="0" fontId="131" fillId="27" borderId="0" applyNumberFormat="0" applyBorder="0" applyAlignment="0" applyProtection="0"/>
    <xf numFmtId="0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Alignment="0" applyProtection="0"/>
    <xf numFmtId="3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Border="0" applyAlignment="0" applyProtection="0"/>
    <xf numFmtId="3" fontId="36" fillId="0" borderId="0" applyNumberFormat="0" applyFont="0" applyFill="0" applyBorder="0" applyAlignment="0" applyProtection="0"/>
    <xf numFmtId="0" fontId="36" fillId="28" borderId="0" applyNumberFormat="0" applyBorder="0" applyAlignment="0" applyProtection="0"/>
    <xf numFmtId="0" fontId="131" fillId="28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29" borderId="0" applyNumberFormat="0" applyBorder="0" applyAlignment="0" applyProtection="0"/>
    <xf numFmtId="3" fontId="131" fillId="29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30" borderId="0" applyNumberFormat="0" applyBorder="0" applyAlignment="0" applyProtection="0"/>
    <xf numFmtId="3" fontId="131" fillId="30" borderId="0" applyNumberFormat="0" applyBorder="0" applyAlignment="0" applyProtection="0"/>
    <xf numFmtId="0" fontId="36" fillId="0" borderId="0" applyFont="0" applyFill="0" applyBorder="0" applyAlignment="0" applyProtection="0"/>
    <xf numFmtId="3" fontId="36" fillId="11" borderId="0" applyFont="0" applyBorder="0" applyAlignment="0" applyProtection="0"/>
    <xf numFmtId="0" fontId="36" fillId="30" borderId="0" applyNumberFormat="0" applyFont="0" applyBorder="0" applyAlignment="0" applyProtection="0"/>
    <xf numFmtId="4" fontId="36" fillId="11" borderId="0" applyFont="0" applyBorder="0" applyAlignment="0" applyProtection="0"/>
    <xf numFmtId="0" fontId="65" fillId="0" borderId="0"/>
    <xf numFmtId="0" fontId="73" fillId="0" borderId="27"/>
    <xf numFmtId="0" fontId="4" fillId="31" borderId="0"/>
    <xf numFmtId="0" fontId="132" fillId="31" borderId="0"/>
    <xf numFmtId="0" fontId="132" fillId="31" borderId="0"/>
    <xf numFmtId="0" fontId="133" fillId="0" borderId="40"/>
    <xf numFmtId="0" fontId="133" fillId="0" borderId="40"/>
    <xf numFmtId="0" fontId="73" fillId="0" borderId="0"/>
    <xf numFmtId="0" fontId="73" fillId="0" borderId="32"/>
    <xf numFmtId="0" fontId="73" fillId="0" borderId="32"/>
    <xf numFmtId="0" fontId="134" fillId="0" borderId="0"/>
    <xf numFmtId="37" fontId="71" fillId="0" borderId="0"/>
    <xf numFmtId="0" fontId="72" fillId="0" borderId="0" applyNumberFormat="0" applyFill="0" applyBorder="0" applyProtection="0">
      <alignment horizontal="left"/>
    </xf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0" applyNumberFormat="0" applyFill="0" applyBorder="0" applyProtection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1" fontId="36" fillId="0" borderId="45"/>
    <xf numFmtId="261" fontId="36" fillId="0" borderId="0" applyBorder="0"/>
    <xf numFmtId="261" fontId="36" fillId="0" borderId="46"/>
    <xf numFmtId="261" fontId="36" fillId="32" borderId="45"/>
    <xf numFmtId="261" fontId="36" fillId="32" borderId="0" applyBorder="0"/>
    <xf numFmtId="261" fontId="36" fillId="32" borderId="46"/>
    <xf numFmtId="262" fontId="36" fillId="0" borderId="46"/>
    <xf numFmtId="262" fontId="36" fillId="0" borderId="0" applyBorder="0"/>
    <xf numFmtId="14" fontId="72" fillId="0" borderId="0" applyFill="0" applyBorder="0" applyProtection="0">
      <alignment horizontal="left"/>
    </xf>
    <xf numFmtId="262" fontId="36" fillId="32" borderId="0" applyBorder="0"/>
    <xf numFmtId="262" fontId="36" fillId="32" borderId="46"/>
    <xf numFmtId="262" fontId="36" fillId="32" borderId="45"/>
    <xf numFmtId="262" fontId="36" fillId="0" borderId="45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1" fontId="36" fillId="0" borderId="42"/>
    <xf numFmtId="261" fontId="36" fillId="0" borderId="42"/>
    <xf numFmtId="261" fontId="36" fillId="0" borderId="43"/>
    <xf numFmtId="261" fontId="36" fillId="0" borderId="43"/>
    <xf numFmtId="261" fontId="36" fillId="0" borderId="44"/>
    <xf numFmtId="261" fontId="36" fillId="0" borderId="44"/>
    <xf numFmtId="262" fontId="36" fillId="0" borderId="42"/>
    <xf numFmtId="262" fontId="36" fillId="0" borderId="42"/>
    <xf numFmtId="262" fontId="36" fillId="0" borderId="43"/>
    <xf numFmtId="262" fontId="36" fillId="0" borderId="43"/>
    <xf numFmtId="262" fontId="36" fillId="0" borderId="44"/>
    <xf numFmtId="262" fontId="36" fillId="0" borderId="44"/>
    <xf numFmtId="263" fontId="36" fillId="0" borderId="42"/>
    <xf numFmtId="263" fontId="36" fillId="0" borderId="42"/>
    <xf numFmtId="263" fontId="36" fillId="0" borderId="43"/>
    <xf numFmtId="263" fontId="36" fillId="0" borderId="43"/>
    <xf numFmtId="263" fontId="36" fillId="0" borderId="44"/>
    <xf numFmtId="263" fontId="36" fillId="0" borderId="44"/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3" fontId="36" fillId="0" borderId="42"/>
    <xf numFmtId="263" fontId="36" fillId="0" borderId="42"/>
    <xf numFmtId="263" fontId="36" fillId="0" borderId="43"/>
    <xf numFmtId="263" fontId="36" fillId="0" borderId="43"/>
    <xf numFmtId="263" fontId="36" fillId="0" borderId="44"/>
    <xf numFmtId="263" fontId="36" fillId="0" borderId="44"/>
    <xf numFmtId="0" fontId="36" fillId="0" borderId="0" applyNumberFormat="0" applyBorder="0"/>
    <xf numFmtId="0" fontId="135" fillId="25" borderId="42" applyNumberFormat="0">
      <alignment horizontal="right"/>
    </xf>
    <xf numFmtId="0" fontId="135" fillId="25" borderId="42" applyNumberFormat="0">
      <alignment horizontal="right"/>
    </xf>
    <xf numFmtId="0" fontId="135" fillId="25" borderId="43" applyNumberFormat="0">
      <alignment horizontal="right"/>
    </xf>
    <xf numFmtId="0" fontId="135" fillId="25" borderId="43" applyNumberFormat="0">
      <alignment horizontal="right"/>
    </xf>
    <xf numFmtId="0" fontId="135" fillId="25" borderId="44" applyNumberFormat="0">
      <alignment horizontal="right"/>
    </xf>
    <xf numFmtId="0" fontId="135" fillId="25" borderId="44" applyNumberFormat="0">
      <alignment horizontal="right"/>
    </xf>
    <xf numFmtId="0" fontId="135" fillId="25" borderId="41" applyNumberFormat="0"/>
    <xf numFmtId="0" fontId="135" fillId="25" borderId="41" applyNumberFormat="0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261" fontId="36" fillId="32" borderId="46" applyFont="0" applyAlignment="0" applyProtection="0"/>
    <xf numFmtId="262" fontId="36" fillId="0" borderId="46" applyFont="0" applyFill="0" applyAlignment="0" applyProtection="0"/>
    <xf numFmtId="262" fontId="36" fillId="0" borderId="0" applyFont="0" applyFill="0" applyBorder="0" applyAlignment="0" applyProtection="0"/>
    <xf numFmtId="262" fontId="36" fillId="32" borderId="0" applyFont="0" applyBorder="0" applyAlignment="0" applyProtection="0"/>
    <xf numFmtId="262" fontId="36" fillId="32" borderId="46" applyFont="0" applyAlignment="0" applyProtection="0"/>
    <xf numFmtId="262" fontId="36" fillId="32" borderId="45" applyFont="0" applyAlignment="0" applyProtection="0"/>
    <xf numFmtId="262" fontId="36" fillId="0" borderId="45" applyFont="0" applyFill="0" applyAlignment="0" applyProtection="0"/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263" fontId="36" fillId="32" borderId="0" applyFont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33" borderId="0" applyNumberFormat="0" applyBorder="0"/>
    <xf numFmtId="0" fontId="36" fillId="0" borderId="47" applyNumberFormat="0"/>
    <xf numFmtId="0" fontId="36" fillId="0" borderId="47" applyNumberFormat="0"/>
    <xf numFmtId="0" fontId="36" fillId="0" borderId="45" applyNumberFormat="0"/>
    <xf numFmtId="262" fontId="36" fillId="0" borderId="43" applyFont="0" applyFill="0" applyAlignment="0" applyProtection="0"/>
    <xf numFmtId="262" fontId="36" fillId="0" borderId="43" applyFont="0" applyFill="0" applyAlignment="0" applyProtection="0"/>
    <xf numFmtId="262" fontId="36" fillId="0" borderId="44" applyFont="0" applyFill="0" applyAlignment="0" applyProtection="0"/>
    <xf numFmtId="262" fontId="36" fillId="0" borderId="44" applyFont="0" applyFill="0" applyAlignment="0" applyProtection="0"/>
    <xf numFmtId="263" fontId="36" fillId="0" borderId="42" applyFill="0" applyAlignment="0" applyProtection="0"/>
    <xf numFmtId="263" fontId="36" fillId="0" borderId="42" applyFill="0" applyAlignment="0" applyProtection="0"/>
    <xf numFmtId="263" fontId="36" fillId="0" borderId="43" applyFont="0" applyFill="0" applyAlignment="0" applyProtection="0"/>
    <xf numFmtId="263" fontId="36" fillId="0" borderId="43" applyFont="0" applyFill="0" applyAlignment="0" applyProtection="0"/>
    <xf numFmtId="263" fontId="36" fillId="0" borderId="44" applyFont="0" applyFill="0" applyAlignment="0" applyProtection="0"/>
    <xf numFmtId="263" fontId="36" fillId="0" borderId="44" applyFont="0" applyFill="0" applyAlignment="0" applyProtection="0"/>
    <xf numFmtId="0" fontId="36" fillId="0" borderId="0" applyNumberFormat="0" applyBorder="0"/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62" fontId="36" fillId="0" borderId="46"/>
    <xf numFmtId="262" fontId="36" fillId="0" borderId="0" applyBorder="0"/>
    <xf numFmtId="262" fontId="36" fillId="32" borderId="0" applyBorder="0"/>
    <xf numFmtId="262" fontId="36" fillId="32" borderId="46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0" fontId="36" fillId="33" borderId="0" applyNumberFormat="0" applyBorder="0"/>
    <xf numFmtId="0" fontId="36" fillId="0" borderId="0" applyNumberFormat="0" applyFont="0" applyFill="0" applyBorder="0" applyAlignment="0" applyProtection="0"/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263" fontId="36" fillId="32" borderId="0" applyFont="0" applyBorder="0" applyAlignment="0" applyProtection="0"/>
    <xf numFmtId="263" fontId="36" fillId="32" borderId="46" applyFont="0" applyAlignment="0" applyProtection="0"/>
    <xf numFmtId="263" fontId="36" fillId="32" borderId="45" applyFont="0" applyAlignment="0" applyProtection="0"/>
    <xf numFmtId="263" fontId="36" fillId="0" borderId="45" applyFont="0" applyFill="0" applyAlignment="0" applyProtection="0"/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3" fontId="36" fillId="0" borderId="42" applyFill="0" applyAlignment="0" applyProtection="0"/>
    <xf numFmtId="263" fontId="36" fillId="0" borderId="42" applyFill="0" applyAlignment="0" applyProtection="0"/>
    <xf numFmtId="263" fontId="36" fillId="0" borderId="43" applyFont="0" applyFill="0" applyAlignment="0" applyProtection="0"/>
    <xf numFmtId="263" fontId="36" fillId="0" borderId="43" applyFont="0" applyFill="0" applyAlignment="0" applyProtection="0"/>
    <xf numFmtId="263" fontId="36" fillId="0" borderId="44" applyFont="0" applyFill="0" applyAlignment="0" applyProtection="0"/>
    <xf numFmtId="263" fontId="36" fillId="0" borderId="44" applyFont="0" applyFill="0" applyAlignment="0" applyProtection="0"/>
    <xf numFmtId="264" fontId="72" fillId="0" borderId="45">
      <alignment horizontal="right"/>
    </xf>
    <xf numFmtId="264" fontId="72" fillId="32" borderId="45">
      <alignment horizontal="right"/>
    </xf>
    <xf numFmtId="262" fontId="36" fillId="0" borderId="45"/>
    <xf numFmtId="262" fontId="36" fillId="32" borderId="45"/>
    <xf numFmtId="263" fontId="36" fillId="0" borderId="46"/>
    <xf numFmtId="263" fontId="36" fillId="32" borderId="46"/>
    <xf numFmtId="265" fontId="36" fillId="0" borderId="45"/>
    <xf numFmtId="261" fontId="36" fillId="32" borderId="45"/>
    <xf numFmtId="265" fontId="36" fillId="0" borderId="46"/>
    <xf numFmtId="265" fontId="36" fillId="32" borderId="46"/>
    <xf numFmtId="0" fontId="36" fillId="0" borderId="47" applyNumberFormat="0"/>
    <xf numFmtId="0" fontId="36" fillId="0" borderId="47" applyNumberFormat="0"/>
    <xf numFmtId="263" fontId="36" fillId="0" borderId="45"/>
    <xf numFmtId="263" fontId="36" fillId="32" borderId="45"/>
    <xf numFmtId="0" fontId="36" fillId="0" borderId="0" applyNumberFormat="0" applyFont="0" applyFill="0" applyBorder="0" applyAlignment="0" applyProtection="0"/>
    <xf numFmtId="0" fontId="135" fillId="25" borderId="42" applyNumberFormat="0" applyProtection="0">
      <alignment horizontal="right"/>
    </xf>
    <xf numFmtId="0" fontId="135" fillId="25" borderId="42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1" applyNumberFormat="0" applyAlignment="0" applyProtection="0"/>
    <xf numFmtId="0" fontId="135" fillId="25" borderId="41" applyNumberFormat="0" applyAlignment="0" applyProtection="0"/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2" fontId="36" fillId="0" borderId="45"/>
    <xf numFmtId="262" fontId="36" fillId="32" borderId="45"/>
    <xf numFmtId="263" fontId="36" fillId="0" borderId="46"/>
    <xf numFmtId="263" fontId="36" fillId="32" borderId="46"/>
    <xf numFmtId="265" fontId="36" fillId="0" borderId="45"/>
    <xf numFmtId="261" fontId="36" fillId="32" borderId="45"/>
    <xf numFmtId="265" fontId="36" fillId="0" borderId="46"/>
    <xf numFmtId="265" fontId="36" fillId="32" borderId="46"/>
    <xf numFmtId="0" fontId="36" fillId="0" borderId="47" applyNumberFormat="0"/>
    <xf numFmtId="0" fontId="36" fillId="0" borderId="47" applyNumberFormat="0"/>
    <xf numFmtId="263" fontId="36" fillId="0" borderId="45"/>
    <xf numFmtId="263" fontId="36" fillId="32" borderId="45"/>
    <xf numFmtId="263" fontId="131" fillId="33" borderId="45"/>
    <xf numFmtId="263" fontId="131" fillId="33" borderId="46"/>
    <xf numFmtId="262" fontId="131" fillId="33" borderId="45"/>
    <xf numFmtId="261" fontId="131" fillId="33" borderId="45"/>
    <xf numFmtId="261" fontId="131" fillId="33" borderId="46"/>
    <xf numFmtId="0" fontId="131" fillId="33" borderId="45" applyNumberFormat="0">
      <alignment horizontal="right"/>
    </xf>
    <xf numFmtId="0" fontId="36" fillId="0" borderId="0" applyNumberFormat="0" applyFont="0" applyFill="0" applyBorder="0" applyAlignment="0" applyProtection="0"/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1" fontId="36" fillId="0" borderId="0" applyFill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0" borderId="47" applyNumberFormat="0"/>
    <xf numFmtId="0" fontId="36" fillId="0" borderId="47" applyNumberFormat="0"/>
    <xf numFmtId="0" fontId="36" fillId="0" borderId="45" applyNumberFormat="0"/>
    <xf numFmtId="0" fontId="36" fillId="0" borderId="42" applyNumberFormat="0"/>
    <xf numFmtId="0" fontId="36" fillId="0" borderId="42" applyNumberFormat="0"/>
    <xf numFmtId="0" fontId="36" fillId="0" borderId="43" applyNumberFormat="0"/>
    <xf numFmtId="0" fontId="36" fillId="0" borderId="43" applyNumberFormat="0"/>
    <xf numFmtId="266" fontId="36" fillId="32" borderId="45">
      <alignment horizontal="left"/>
    </xf>
    <xf numFmtId="266" fontId="36" fillId="19" borderId="45">
      <alignment horizontal="left"/>
    </xf>
    <xf numFmtId="0" fontId="72" fillId="32" borderId="45" applyNumberFormat="0" applyProtection="0">
      <alignment horizontal="right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64" fontId="72" fillId="0" borderId="45" applyFill="0" applyProtection="0">
      <alignment horizontal="right"/>
    </xf>
    <xf numFmtId="264" fontId="72" fillId="32" borderId="45" applyProtection="0">
      <alignment horizontal="right"/>
    </xf>
    <xf numFmtId="262" fontId="36" fillId="0" borderId="45" applyFont="0" applyFill="0" applyAlignment="0" applyProtection="0"/>
    <xf numFmtId="262" fontId="36" fillId="32" borderId="45" applyFont="0" applyAlignment="0" applyProtection="0"/>
    <xf numFmtId="263" fontId="36" fillId="0" borderId="46" applyFont="0" applyFill="0" applyAlignment="0" applyProtection="0"/>
    <xf numFmtId="263" fontId="36" fillId="32" borderId="46" applyFont="0" applyAlignment="0" applyProtection="0"/>
    <xf numFmtId="0" fontId="36" fillId="0" borderId="47" applyNumberFormat="0"/>
    <xf numFmtId="0" fontId="36" fillId="0" borderId="47" applyNumberFormat="0"/>
    <xf numFmtId="0" fontId="36" fillId="0" borderId="0" applyNumberFormat="0"/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67" fontId="36" fillId="0" borderId="46" applyFont="0" applyFill="0" applyProtection="0">
      <alignment horizontal="right"/>
    </xf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2" fontId="36" fillId="0" borderId="45" applyFont="0" applyFill="0" applyAlignment="0" applyProtection="0"/>
    <xf numFmtId="262" fontId="36" fillId="32" borderId="45" applyFont="0" applyAlignment="0" applyProtection="0"/>
    <xf numFmtId="263" fontId="36" fillId="0" borderId="46" applyFont="0" applyFill="0" applyAlignment="0" applyProtection="0"/>
    <xf numFmtId="263" fontId="36" fillId="32" borderId="46" applyFont="0" applyAlignment="0" applyProtection="0"/>
    <xf numFmtId="265" fontId="36" fillId="0" borderId="45" applyFont="0" applyFill="0" applyAlignment="0" applyProtection="0"/>
    <xf numFmtId="261" fontId="36" fillId="32" borderId="45" applyFont="0" applyAlignment="0" applyProtection="0"/>
    <xf numFmtId="265" fontId="36" fillId="0" borderId="46" applyFont="0" applyFill="0" applyAlignment="0" applyProtection="0"/>
    <xf numFmtId="265" fontId="36" fillId="32" borderId="46" applyFont="0" applyAlignment="0" applyProtection="0"/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63" fontId="36" fillId="0" borderId="45" applyFont="0" applyFill="0" applyAlignment="0" applyProtection="0"/>
    <xf numFmtId="263" fontId="36" fillId="32" borderId="45" applyFont="0" applyAlignment="0" applyProtection="0"/>
    <xf numFmtId="263" fontId="131" fillId="33" borderId="45" applyAlignment="0" applyProtection="0"/>
    <xf numFmtId="263" fontId="131" fillId="33" borderId="46" applyAlignment="0" applyProtection="0"/>
    <xf numFmtId="262" fontId="131" fillId="33" borderId="45" applyAlignment="0" applyProtection="0"/>
    <xf numFmtId="261" fontId="131" fillId="33" borderId="45" applyAlignment="0" applyProtection="0"/>
    <xf numFmtId="261" fontId="131" fillId="33" borderId="46" applyAlignment="0" applyProtection="0"/>
    <xf numFmtId="0" fontId="131" fillId="33" borderId="45" applyNumberFormat="0" applyProtection="0">
      <alignment horizontal="right"/>
    </xf>
    <xf numFmtId="0" fontId="36" fillId="19" borderId="45" applyNumberFormat="0" applyFont="0" applyProtection="0">
      <alignment horizontal="left"/>
    </xf>
    <xf numFmtId="0" fontId="36" fillId="32" borderId="45" applyNumberFormat="0" applyFont="0" applyProtection="0">
      <alignment horizontal="left"/>
    </xf>
    <xf numFmtId="0" fontId="36" fillId="19" borderId="45" applyNumberFormat="0" applyFont="0" applyProtection="0">
      <alignment horizontal="right"/>
    </xf>
    <xf numFmtId="0" fontId="36" fillId="32" borderId="45" applyNumberFormat="0" applyFont="0" applyProtection="0">
      <alignment horizontal="right"/>
    </xf>
    <xf numFmtId="0" fontId="36" fillId="19" borderId="45" applyNumberFormat="0" applyFont="0" applyProtection="0">
      <alignment horizontal="center"/>
    </xf>
    <xf numFmtId="0" fontId="36" fillId="32" borderId="45" applyNumberFormat="0" applyFon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3" applyNumberFormat="0" applyFont="0" applyFill="0" applyAlignment="0" applyProtection="0"/>
    <xf numFmtId="0" fontId="36" fillId="0" borderId="43" applyNumberFormat="0" applyFont="0" applyFill="0" applyAlignment="0" applyProtection="0"/>
    <xf numFmtId="266" fontId="36" fillId="32" borderId="45" applyFont="0" applyProtection="0">
      <alignment horizontal="left"/>
    </xf>
    <xf numFmtId="266" fontId="36" fillId="19" borderId="45" applyFont="0" applyProtection="0">
      <alignment horizontal="left"/>
    </xf>
    <xf numFmtId="0" fontId="136" fillId="19" borderId="45" applyNumberFormat="0" applyProtection="0">
      <alignment horizontal="center"/>
    </xf>
    <xf numFmtId="0" fontId="136" fillId="32" borderId="45" applyNumberForma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0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6" applyNumberFormat="0" applyFont="0" applyFill="0" applyAlignment="0" applyProtection="0"/>
    <xf numFmtId="0" fontId="36" fillId="0" borderId="50" applyNumberFormat="0" applyFont="0" applyFill="0" applyAlignment="0" applyProtection="0"/>
    <xf numFmtId="0" fontId="36" fillId="0" borderId="51" applyNumberFormat="0" applyFont="0" applyFill="0" applyAlignment="0" applyProtection="0"/>
    <xf numFmtId="0" fontId="137" fillId="0" borderId="0" applyNumberFormat="0" applyBorder="0" applyAlignment="0"/>
    <xf numFmtId="0" fontId="138" fillId="0" borderId="0" applyNumberFormat="0" applyBorder="0" applyAlignment="0"/>
    <xf numFmtId="0" fontId="73" fillId="0" borderId="0"/>
    <xf numFmtId="0" fontId="74" fillId="0" borderId="39"/>
    <xf numFmtId="0" fontId="119" fillId="0" borderId="0"/>
    <xf numFmtId="0" fontId="103" fillId="0" borderId="0">
      <alignment horizontal="center"/>
    </xf>
    <xf numFmtId="0" fontId="39" fillId="0" borderId="0">
      <alignment horizontal="left" indent="1"/>
    </xf>
    <xf numFmtId="38" fontId="65" fillId="0" borderId="13"/>
    <xf numFmtId="0" fontId="39" fillId="0" borderId="0">
      <alignment horizontal="left" indent="1"/>
    </xf>
    <xf numFmtId="0" fontId="74" fillId="0" borderId="13"/>
    <xf numFmtId="0" fontId="74" fillId="0" borderId="13"/>
    <xf numFmtId="0" fontId="74" fillId="0" borderId="3" applyFont="0">
      <alignment horizontal="centerContinuous"/>
    </xf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1" fontId="74" fillId="0" borderId="3">
      <alignment horizontal="centerContinuous"/>
    </xf>
    <xf numFmtId="1" fontId="74" fillId="0" borderId="3">
      <alignment horizontal="centerContinuous"/>
    </xf>
    <xf numFmtId="0" fontId="74" fillId="0" borderId="3">
      <alignment horizontal="center"/>
    </xf>
    <xf numFmtId="0" fontId="74" fillId="0" borderId="3">
      <alignment horizontal="center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9" fontId="74" fillId="0" borderId="0">
      <alignment horizontal="centerContinuous"/>
    </xf>
    <xf numFmtId="0" fontId="5" fillId="0" borderId="0" applyFill="0" applyBorder="0" applyProtection="0">
      <alignment horizontal="center" vertical="center"/>
    </xf>
    <xf numFmtId="0" fontId="139" fillId="0" borderId="40"/>
    <xf numFmtId="0" fontId="139" fillId="0" borderId="40"/>
    <xf numFmtId="0" fontId="139" fillId="0" borderId="40"/>
    <xf numFmtId="0" fontId="5" fillId="0" borderId="0" applyFill="0" applyBorder="0" applyProtection="0"/>
    <xf numFmtId="0" fontId="19" fillId="16" borderId="43" applyNumberFormat="0" applyBorder="0" applyAlignment="0" applyProtection="0"/>
    <xf numFmtId="0" fontId="19" fillId="16" borderId="25" applyNumberFormat="0" applyBorder="0" applyAlignment="0" applyProtection="0"/>
    <xf numFmtId="0" fontId="23" fillId="17" borderId="43" applyNumberFormat="0" applyBorder="0" applyAlignment="0" applyProtection="0"/>
    <xf numFmtId="0" fontId="23" fillId="17" borderId="25" applyNumberFormat="0" applyBorder="0" applyAlignment="0" applyProtection="0"/>
    <xf numFmtId="0" fontId="72" fillId="0" borderId="0" applyFill="0" applyBorder="0" applyProtection="0">
      <alignment horizontal="left"/>
    </xf>
    <xf numFmtId="0" fontId="140" fillId="0" borderId="0" applyFill="0" applyBorder="0" applyProtection="0">
      <alignment horizontal="left" vertical="top"/>
    </xf>
    <xf numFmtId="49" fontId="91" fillId="0" borderId="0" applyFill="0" applyBorder="0" applyAlignment="0"/>
    <xf numFmtId="222" fontId="36" fillId="0" borderId="0" applyFill="0" applyBorder="0" applyAlignment="0"/>
    <xf numFmtId="193" fontId="36" fillId="0" borderId="0" applyFill="0" applyBorder="0" applyAlignment="0"/>
    <xf numFmtId="0" fontId="74" fillId="0" borderId="3" applyFont="0" applyBorder="0" applyAlignment="0">
      <alignment horizontal="centerContinuous"/>
    </xf>
    <xf numFmtId="0" fontId="74" fillId="0" borderId="3" applyFont="0" applyBorder="0" applyAlignme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40" fontId="141" fillId="0" borderId="0"/>
    <xf numFmtId="0" fontId="123" fillId="0" borderId="3">
      <alignment horizontal="centerContinuous"/>
    </xf>
    <xf numFmtId="0" fontId="123" fillId="0" borderId="3">
      <alignment horizontal="centerContinuous"/>
    </xf>
    <xf numFmtId="0" fontId="119" fillId="0" borderId="0"/>
    <xf numFmtId="0" fontId="142" fillId="0" borderId="3" applyNumberFormat="0" applyFill="0" applyAlignment="0" applyProtection="0"/>
    <xf numFmtId="0" fontId="142" fillId="0" borderId="3" applyNumberFormat="0" applyFill="0" applyAlignment="0" applyProtection="0"/>
    <xf numFmtId="0" fontId="62" fillId="0" borderId="3" applyNumberFormat="0" applyFill="0" applyAlignment="0" applyProtection="0"/>
    <xf numFmtId="0" fontId="71" fillId="0" borderId="32"/>
    <xf numFmtId="0" fontId="71" fillId="0" borderId="32"/>
    <xf numFmtId="0" fontId="82" fillId="0" borderId="19" applyNumberFormat="0" applyFont="0" applyFill="0" applyAlignment="0" applyProtection="0"/>
    <xf numFmtId="0" fontId="73" fillId="0" borderId="32"/>
    <xf numFmtId="0" fontId="73" fillId="0" borderId="32"/>
    <xf numFmtId="3" fontId="143" fillId="0" borderId="0"/>
    <xf numFmtId="0" fontId="74" fillId="0" borderId="0">
      <alignment horizontal="centerContinuous"/>
    </xf>
    <xf numFmtId="0" fontId="74" fillId="0" borderId="0">
      <alignment horizontal="centerContinuous"/>
    </xf>
    <xf numFmtId="166" fontId="63" fillId="0" borderId="0" applyFont="0" applyFill="0" applyBorder="0">
      <alignment horizontal="right"/>
    </xf>
    <xf numFmtId="166" fontId="63" fillId="0" borderId="0" applyFont="0" applyFill="0" applyBorder="0">
      <alignment horizontal="right"/>
    </xf>
    <xf numFmtId="166" fontId="63" fillId="0" borderId="0" applyFont="0" applyFill="0" applyBorder="0">
      <alignment horizontal="right"/>
    </xf>
    <xf numFmtId="0" fontId="71" fillId="0" borderId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37" fontId="6" fillId="2" borderId="0" applyNumberFormat="0" applyBorder="0" applyAlignment="0" applyProtection="0"/>
    <xf numFmtId="37" fontId="6" fillId="0" borderId="0"/>
    <xf numFmtId="3" fontId="144" fillId="0" borderId="33" applyProtection="0"/>
    <xf numFmtId="3" fontId="145" fillId="0" borderId="0">
      <protection locked="0"/>
    </xf>
    <xf numFmtId="0" fontId="71" fillId="0" borderId="0"/>
    <xf numFmtId="42" fontId="110" fillId="0" borderId="0" applyFont="0" applyFill="0" applyBorder="0" applyAlignment="0" applyProtection="0"/>
    <xf numFmtId="44" fontId="110" fillId="0" borderId="0" applyFont="0" applyFill="0" applyBorder="0" applyAlignment="0" applyProtection="0"/>
    <xf numFmtId="0" fontId="64" fillId="0" borderId="0"/>
    <xf numFmtId="0" fontId="72" fillId="11" borderId="0">
      <alignment horizontal="center"/>
    </xf>
    <xf numFmtId="268" fontId="36" fillId="0" borderId="0" applyFont="0" applyFill="0" applyBorder="0" applyAlignment="0" applyProtection="0"/>
    <xf numFmtId="269" fontId="36" fillId="0" borderId="0" applyFont="0" applyFill="0" applyBorder="0" applyAlignment="0" applyProtection="0"/>
    <xf numFmtId="0" fontId="64" fillId="0" borderId="0"/>
    <xf numFmtId="270" fontId="146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271" fontId="83" fillId="0" borderId="0" applyFont="0" applyFill="0" applyBorder="0" applyAlignment="0" applyProtection="0"/>
    <xf numFmtId="189" fontId="57" fillId="0" borderId="0" applyFont="0" applyFill="0" applyBorder="0" applyAlignment="0" applyProtection="0">
      <protection locked="0"/>
    </xf>
    <xf numFmtId="189" fontId="57" fillId="0" borderId="0" applyFont="0" applyFill="0" applyBorder="0" applyAlignment="0" applyProtection="0">
      <protection locked="0"/>
    </xf>
    <xf numFmtId="189" fontId="57" fillId="0" borderId="0" applyFont="0" applyFill="0" applyBorder="0" applyAlignment="0" applyProtection="0">
      <protection locked="0"/>
    </xf>
    <xf numFmtId="189" fontId="20" fillId="0" borderId="0" applyFont="0" applyFill="0" applyBorder="0" applyAlignment="0" applyProtection="0">
      <protection locked="0"/>
    </xf>
    <xf numFmtId="0" fontId="74" fillId="0" borderId="0">
      <alignment horizontal="centerContinuous"/>
    </xf>
    <xf numFmtId="9" fontId="75" fillId="0" borderId="0">
      <alignment horizontal="left"/>
    </xf>
    <xf numFmtId="0" fontId="75" fillId="0" borderId="0">
      <alignment horizontal="left"/>
    </xf>
    <xf numFmtId="0" fontId="147" fillId="0" borderId="0"/>
    <xf numFmtId="43" fontId="64" fillId="0" borderId="0" applyFont="0" applyFill="0" applyBorder="0" applyAlignment="0" applyProtection="0"/>
    <xf numFmtId="41" fontId="64" fillId="0" borderId="0" applyFont="0" applyFill="0" applyBorder="0" applyAlignment="0" applyProtection="0"/>
    <xf numFmtId="0" fontId="65" fillId="0" borderId="0"/>
    <xf numFmtId="44" fontId="64" fillId="0" borderId="0" applyFont="0" applyFill="0" applyBorder="0" applyAlignment="0" applyProtection="0"/>
    <xf numFmtId="42" fontId="64" fillId="0" borderId="0" applyFont="0" applyFill="0" applyBorder="0" applyAlignment="0" applyProtection="0"/>
    <xf numFmtId="0" fontId="3" fillId="0" borderId="0"/>
    <xf numFmtId="0" fontId="1" fillId="0" borderId="0"/>
  </cellStyleXfs>
  <cellXfs count="339">
    <xf numFmtId="0" fontId="0" fillId="0" borderId="0" xfId="0"/>
    <xf numFmtId="0" fontId="5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7" fillId="0" borderId="0" xfId="0" applyFont="1"/>
    <xf numFmtId="0" fontId="6" fillId="0" borderId="0" xfId="0" applyFont="1"/>
    <xf numFmtId="0" fontId="8" fillId="0" borderId="0" xfId="0" applyFont="1"/>
    <xf numFmtId="0" fontId="6" fillId="0" borderId="0" xfId="0" applyFont="1" applyAlignment="1">
      <alignment horizontal="right"/>
    </xf>
    <xf numFmtId="166" fontId="6" fillId="0" borderId="0" xfId="1" applyNumberFormat="1" applyFont="1" applyAlignment="1">
      <alignment horizontal="right"/>
    </xf>
    <xf numFmtId="165" fontId="6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 applyFill="1" applyBorder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 applyFill="1" applyBorder="1"/>
    <xf numFmtId="166" fontId="11" fillId="0" borderId="0" xfId="1" applyNumberFormat="1" applyFont="1" applyFill="1" applyBorder="1"/>
    <xf numFmtId="44" fontId="11" fillId="0" borderId="0" xfId="2" applyFont="1"/>
    <xf numFmtId="10" fontId="11" fillId="0" borderId="0" xfId="3" applyNumberFormat="1" applyFont="1"/>
    <xf numFmtId="44" fontId="11" fillId="0" borderId="0" xfId="2" applyFont="1" applyFill="1" applyBorder="1"/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10" fillId="0" borderId="0" xfId="0" applyFont="1" applyAlignment="1">
      <alignment horizontal="right"/>
    </xf>
    <xf numFmtId="10" fontId="10" fillId="0" borderId="0" xfId="3" applyNumberFormat="1" applyFont="1" applyAlignment="1">
      <alignment horizontal="right"/>
    </xf>
    <xf numFmtId="10" fontId="10" fillId="0" borderId="0" xfId="3" applyNumberFormat="1" applyFont="1" applyBorder="1" applyAlignment="1">
      <alignment horizontal="right"/>
    </xf>
    <xf numFmtId="44" fontId="10" fillId="0" borderId="0" xfId="2" applyNumberFormat="1" applyFont="1" applyAlignment="1">
      <alignment horizontal="right"/>
    </xf>
    <xf numFmtId="165" fontId="10" fillId="0" borderId="0" xfId="2" applyNumberFormat="1" applyFont="1" applyAlignment="1">
      <alignment horizontal="right"/>
    </xf>
    <xf numFmtId="166" fontId="10" fillId="0" borderId="3" xfId="1" applyNumberFormat="1" applyFont="1" applyBorder="1" applyAlignment="1">
      <alignment horizontal="right"/>
    </xf>
    <xf numFmtId="166" fontId="10" fillId="0" borderId="0" xfId="1" applyNumberFormat="1" applyFont="1" applyAlignment="1">
      <alignment horizontal="right"/>
    </xf>
    <xf numFmtId="0" fontId="11" fillId="0" borderId="0" xfId="0" applyFont="1" applyBorder="1"/>
    <xf numFmtId="0" fontId="5" fillId="0" borderId="0" xfId="0" applyFont="1" applyBorder="1"/>
    <xf numFmtId="166" fontId="11" fillId="0" borderId="5" xfId="1" applyNumberFormat="1" applyFont="1" applyBorder="1"/>
    <xf numFmtId="0" fontId="5" fillId="0" borderId="1" xfId="0" applyFont="1" applyBorder="1" applyAlignment="1">
      <alignment horizontal="center"/>
    </xf>
    <xf numFmtId="0" fontId="15" fillId="0" borderId="0" xfId="0" applyFont="1"/>
    <xf numFmtId="0" fontId="9" fillId="0" borderId="1" xfId="0" applyFont="1" applyBorder="1" applyAlignment="1">
      <alignment horizontal="center"/>
    </xf>
    <xf numFmtId="0" fontId="5" fillId="0" borderId="0" xfId="0" applyFont="1" applyFill="1" applyBorder="1" applyProtection="1">
      <protection locked="0"/>
    </xf>
    <xf numFmtId="3" fontId="0" fillId="0" borderId="0" xfId="0" applyNumberFormat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Fill="1"/>
    <xf numFmtId="0" fontId="5" fillId="0" borderId="12" xfId="0" applyFont="1" applyBorder="1"/>
    <xf numFmtId="0" fontId="5" fillId="0" borderId="13" xfId="0" applyFont="1" applyBorder="1"/>
    <xf numFmtId="0" fontId="11" fillId="0" borderId="13" xfId="0" applyFont="1" applyBorder="1"/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right"/>
    </xf>
    <xf numFmtId="0" fontId="5" fillId="0" borderId="15" xfId="0" applyFont="1" applyBorder="1"/>
    <xf numFmtId="0" fontId="11" fillId="0" borderId="7" xfId="0" applyFont="1" applyBorder="1"/>
    <xf numFmtId="0" fontId="5" fillId="0" borderId="16" xfId="0" applyFont="1" applyBorder="1"/>
    <xf numFmtId="0" fontId="5" fillId="0" borderId="3" xfId="0" applyFont="1" applyBorder="1"/>
    <xf numFmtId="0" fontId="0" fillId="3" borderId="0" xfId="0" applyFill="1"/>
    <xf numFmtId="0" fontId="5" fillId="0" borderId="1" xfId="0" applyFont="1" applyFill="1" applyBorder="1" applyAlignment="1" applyProtection="1">
      <alignment horizontal="center"/>
      <protection locked="0"/>
    </xf>
    <xf numFmtId="0" fontId="9" fillId="0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10" fontId="16" fillId="3" borderId="7" xfId="3" applyNumberFormat="1" applyFont="1" applyFill="1" applyBorder="1" applyAlignment="1" applyProtection="1">
      <alignment horizontal="center"/>
      <protection locked="0"/>
    </xf>
    <xf numFmtId="165" fontId="11" fillId="0" borderId="0" xfId="2" applyNumberFormat="1" applyFont="1" applyFill="1" applyBorder="1" applyProtection="1"/>
    <xf numFmtId="166" fontId="11" fillId="0" borderId="0" xfId="1" applyNumberFormat="1" applyFont="1" applyFill="1" applyBorder="1" applyProtection="1"/>
    <xf numFmtId="166" fontId="11" fillId="0" borderId="2" xfId="1" applyNumberFormat="1" applyFont="1" applyFill="1" applyBorder="1" applyProtection="1"/>
    <xf numFmtId="44" fontId="16" fillId="2" borderId="7" xfId="2" applyNumberFormat="1" applyFont="1" applyFill="1" applyBorder="1" applyAlignment="1" applyProtection="1">
      <alignment horizontal="center"/>
      <protection locked="0"/>
    </xf>
    <xf numFmtId="41" fontId="11" fillId="0" borderId="0" xfId="1" applyNumberFormat="1" applyFont="1"/>
    <xf numFmtId="41" fontId="11" fillId="0" borderId="0" xfId="0" applyNumberFormat="1" applyFont="1"/>
    <xf numFmtId="0" fontId="5" fillId="0" borderId="0" xfId="0" applyFont="1" applyFill="1" applyAlignment="1" applyProtection="1">
      <protection locked="0"/>
    </xf>
    <xf numFmtId="0" fontId="9" fillId="0" borderId="0" xfId="0" applyFont="1" applyFill="1" applyAlignment="1" applyProtection="1">
      <protection locked="0"/>
    </xf>
    <xf numFmtId="0" fontId="0" fillId="0" borderId="15" xfId="0" applyBorder="1"/>
    <xf numFmtId="0" fontId="17" fillId="0" borderId="0" xfId="0" applyFont="1"/>
    <xf numFmtId="10" fontId="10" fillId="0" borderId="2" xfId="3" applyNumberFormat="1" applyFont="1" applyFill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3" fontId="10" fillId="0" borderId="0" xfId="1" applyNumberFormat="1" applyFont="1" applyAlignment="1">
      <alignment horizontal="center"/>
    </xf>
    <xf numFmtId="44" fontId="16" fillId="2" borderId="0" xfId="2" applyFont="1" applyFill="1" applyAlignment="1" applyProtection="1">
      <alignment horizontal="right"/>
      <protection locked="0"/>
    </xf>
    <xf numFmtId="44" fontId="16" fillId="2" borderId="3" xfId="2" applyNumberFormat="1" applyFont="1" applyFill="1" applyBorder="1" applyAlignment="1" applyProtection="1">
      <alignment horizontal="right"/>
      <protection locked="0"/>
    </xf>
    <xf numFmtId="1" fontId="16" fillId="2" borderId="0" xfId="1" applyNumberFormat="1" applyFont="1" applyFill="1" applyAlignment="1" applyProtection="1">
      <alignment horizontal="center"/>
    </xf>
    <xf numFmtId="0" fontId="18" fillId="0" borderId="0" xfId="0" applyFont="1"/>
    <xf numFmtId="165" fontId="17" fillId="0" borderId="0" xfId="1" applyNumberFormat="1" applyFont="1" applyAlignment="1"/>
    <xf numFmtId="165" fontId="10" fillId="0" borderId="0" xfId="0" applyNumberFormat="1" applyFont="1" applyAlignment="1"/>
    <xf numFmtId="41" fontId="17" fillId="0" borderId="2" xfId="1" applyNumberFormat="1" applyFont="1" applyBorder="1" applyAlignment="1"/>
    <xf numFmtId="41" fontId="10" fillId="0" borderId="2" xfId="0" applyNumberFormat="1" applyFont="1" applyBorder="1" applyAlignment="1"/>
    <xf numFmtId="41" fontId="11" fillId="0" borderId="0" xfId="0" applyNumberFormat="1" applyFont="1" applyAlignment="1"/>
    <xf numFmtId="41" fontId="10" fillId="0" borderId="0" xfId="0" applyNumberFormat="1" applyFont="1" applyAlignment="1"/>
    <xf numFmtId="41" fontId="10" fillId="0" borderId="0" xfId="0" applyNumberFormat="1" applyFont="1"/>
    <xf numFmtId="41" fontId="10" fillId="0" borderId="0" xfId="1" applyNumberFormat="1" applyFont="1"/>
    <xf numFmtId="41" fontId="17" fillId="0" borderId="0" xfId="1" applyNumberFormat="1" applyFont="1"/>
    <xf numFmtId="41" fontId="17" fillId="0" borderId="2" xfId="0" applyNumberFormat="1" applyFont="1" applyBorder="1"/>
    <xf numFmtId="41" fontId="10" fillId="0" borderId="2" xfId="1" applyNumberFormat="1" applyFont="1" applyBorder="1"/>
    <xf numFmtId="41" fontId="11" fillId="0" borderId="2" xfId="0" applyNumberFormat="1" applyFont="1" applyBorder="1"/>
    <xf numFmtId="41" fontId="10" fillId="0" borderId="2" xfId="0" applyNumberFormat="1" applyFont="1" applyBorder="1"/>
    <xf numFmtId="41" fontId="17" fillId="0" borderId="2" xfId="1" applyNumberFormat="1" applyFont="1" applyBorder="1"/>
    <xf numFmtId="41" fontId="17" fillId="0" borderId="0" xfId="1" applyNumberFormat="1" applyFont="1" applyBorder="1"/>
    <xf numFmtId="43" fontId="16" fillId="3" borderId="0" xfId="1" applyNumberFormat="1" applyFont="1" applyFill="1" applyBorder="1" applyAlignment="1" applyProtection="1">
      <alignment horizontal="center"/>
    </xf>
    <xf numFmtId="0" fontId="13" fillId="0" borderId="0" xfId="0" applyFont="1"/>
    <xf numFmtId="0" fontId="14" fillId="0" borderId="0" xfId="0" applyFont="1"/>
    <xf numFmtId="0" fontId="0" fillId="4" borderId="0" xfId="0" applyFill="1"/>
    <xf numFmtId="0" fontId="16" fillId="3" borderId="0" xfId="0" applyFont="1" applyFill="1"/>
    <xf numFmtId="44" fontId="16" fillId="3" borderId="0" xfId="2" applyNumberFormat="1" applyFont="1" applyFill="1" applyBorder="1" applyAlignment="1" applyProtection="1">
      <alignment horizontal="center"/>
    </xf>
    <xf numFmtId="43" fontId="16" fillId="3" borderId="2" xfId="1" applyNumberFormat="1" applyFont="1" applyFill="1" applyBorder="1" applyAlignment="1" applyProtection="1">
      <alignment horizontal="center"/>
    </xf>
    <xf numFmtId="0" fontId="3" fillId="0" borderId="0" xfId="0" applyFont="1" applyFill="1" applyBorder="1"/>
    <xf numFmtId="167" fontId="16" fillId="3" borderId="0" xfId="1" applyNumberFormat="1" applyFont="1" applyFill="1" applyBorder="1" applyAlignment="1" applyProtection="1">
      <alignment horizontal="center"/>
      <protection locked="0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8" xfId="0" applyBorder="1"/>
    <xf numFmtId="0" fontId="26" fillId="0" borderId="15" xfId="4" applyFont="1" applyFill="1" applyBorder="1"/>
    <xf numFmtId="0" fontId="27" fillId="0" borderId="0" xfId="4" applyFont="1" applyFill="1" applyBorder="1"/>
    <xf numFmtId="0" fontId="26" fillId="0" borderId="8" xfId="4" applyFont="1" applyFill="1" applyBorder="1" applyAlignment="1">
      <alignment horizontal="center"/>
    </xf>
    <xf numFmtId="0" fontId="28" fillId="0" borderId="15" xfId="0" applyFont="1" applyBorder="1"/>
    <xf numFmtId="0" fontId="3" fillId="0" borderId="0" xfId="0" applyFont="1" applyBorder="1"/>
    <xf numFmtId="0" fontId="27" fillId="0" borderId="15" xfId="4" applyFont="1" applyFill="1" applyBorder="1"/>
    <xf numFmtId="37" fontId="30" fillId="0" borderId="0" xfId="5" applyNumberFormat="1" applyFont="1" applyFill="1" applyBorder="1"/>
    <xf numFmtId="0" fontId="28" fillId="0" borderId="15" xfId="0" applyFont="1" applyFill="1" applyBorder="1"/>
    <xf numFmtId="0" fontId="28" fillId="0" borderId="15" xfId="4" applyFont="1" applyFill="1" applyBorder="1"/>
    <xf numFmtId="0" fontId="28" fillId="0" borderId="16" xfId="0" applyFont="1" applyBorder="1"/>
    <xf numFmtId="5" fontId="28" fillId="0" borderId="8" xfId="0" applyNumberFormat="1" applyFont="1" applyBorder="1"/>
    <xf numFmtId="41" fontId="27" fillId="0" borderId="0" xfId="4" applyNumberFormat="1" applyFont="1" applyFill="1" applyBorder="1"/>
    <xf numFmtId="0" fontId="25" fillId="0" borderId="0" xfId="0" applyFont="1"/>
    <xf numFmtId="0" fontId="24" fillId="0" borderId="0" xfId="4" applyFont="1" applyFill="1" applyBorder="1"/>
    <xf numFmtId="0" fontId="25" fillId="0" borderId="0" xfId="0" applyFont="1" applyBorder="1"/>
    <xf numFmtId="5" fontId="24" fillId="0" borderId="0" xfId="4" applyNumberFormat="1" applyFont="1" applyFill="1" applyBorder="1"/>
    <xf numFmtId="0" fontId="31" fillId="0" borderId="0" xfId="0" applyFont="1"/>
    <xf numFmtId="0" fontId="28" fillId="0" borderId="0" xfId="0" applyFont="1" applyBorder="1"/>
    <xf numFmtId="5" fontId="28" fillId="0" borderId="0" xfId="0" applyNumberFormat="1" applyFont="1" applyBorder="1"/>
    <xf numFmtId="44" fontId="28" fillId="0" borderId="0" xfId="0" applyNumberFormat="1" applyFont="1" applyBorder="1"/>
    <xf numFmtId="170" fontId="32" fillId="0" borderId="0" xfId="0" applyNumberFormat="1" applyFont="1" applyAlignment="1"/>
    <xf numFmtId="165" fontId="28" fillId="0" borderId="0" xfId="0" applyNumberFormat="1" applyFont="1" applyFill="1" applyAlignment="1">
      <alignment horizontal="right"/>
    </xf>
    <xf numFmtId="37" fontId="3" fillId="0" borderId="0" xfId="0" applyNumberFormat="1" applyFont="1" applyAlignment="1">
      <alignment horizontal="right"/>
    </xf>
    <xf numFmtId="0" fontId="27" fillId="0" borderId="0" xfId="4" applyFont="1" applyFill="1"/>
    <xf numFmtId="165" fontId="30" fillId="0" borderId="0" xfId="7" applyNumberFormat="1" applyFont="1" applyFill="1"/>
    <xf numFmtId="166" fontId="28" fillId="0" borderId="0" xfId="5" applyNumberFormat="1" applyFont="1" applyFill="1" applyAlignment="1">
      <alignment horizontal="right"/>
    </xf>
    <xf numFmtId="166" fontId="30" fillId="0" borderId="0" xfId="5" applyNumberFormat="1" applyFont="1" applyFill="1" applyAlignment="1">
      <alignment horizontal="right"/>
    </xf>
    <xf numFmtId="166" fontId="30" fillId="0" borderId="0" xfId="5" applyNumberFormat="1" applyFont="1" applyFill="1"/>
    <xf numFmtId="164" fontId="12" fillId="0" borderId="0" xfId="4" applyNumberFormat="1" applyFont="1" applyFill="1" applyBorder="1" applyAlignment="1">
      <alignment horizontal="center"/>
    </xf>
    <xf numFmtId="2" fontId="12" fillId="0" borderId="0" xfId="4" applyNumberFormat="1" applyFont="1" applyFill="1" applyBorder="1" applyAlignment="1">
      <alignment horizontal="center"/>
    </xf>
    <xf numFmtId="0" fontId="26" fillId="0" borderId="0" xfId="4" applyFont="1" applyFill="1" applyBorder="1" applyAlignment="1">
      <alignment horizontal="center"/>
    </xf>
    <xf numFmtId="44" fontId="30" fillId="0" borderId="0" xfId="5" applyNumberFormat="1" applyFont="1" applyFill="1" applyBorder="1"/>
    <xf numFmtId="43" fontId="30" fillId="0" borderId="0" xfId="5" applyNumberFormat="1" applyFont="1" applyFill="1" applyBorder="1"/>
    <xf numFmtId="44" fontId="26" fillId="0" borderId="0" xfId="5" applyNumberFormat="1" applyFont="1" applyFill="1" applyBorder="1"/>
    <xf numFmtId="43" fontId="27" fillId="0" borderId="0" xfId="4" applyNumberFormat="1" applyFont="1" applyFill="1" applyBorder="1"/>
    <xf numFmtId="164" fontId="30" fillId="0" borderId="7" xfId="6" applyNumberFormat="1" applyFont="1" applyFill="1" applyBorder="1" applyAlignment="1">
      <alignment horizontal="center"/>
    </xf>
    <xf numFmtId="0" fontId="27" fillId="0" borderId="7" xfId="4" applyFont="1" applyFill="1" applyBorder="1"/>
    <xf numFmtId="164" fontId="30" fillId="0" borderId="8" xfId="6" applyNumberFormat="1" applyFont="1" applyFill="1" applyBorder="1" applyAlignment="1">
      <alignment horizontal="center"/>
    </xf>
    <xf numFmtId="164" fontId="32" fillId="0" borderId="8" xfId="4" applyNumberFormat="1" applyFont="1" applyFill="1" applyBorder="1" applyAlignment="1">
      <alignment horizontal="center"/>
    </xf>
    <xf numFmtId="0" fontId="28" fillId="0" borderId="0" xfId="0" applyFont="1" applyFill="1" applyBorder="1"/>
    <xf numFmtId="0" fontId="28" fillId="0" borderId="0" xfId="4" applyFont="1" applyFill="1" applyBorder="1"/>
    <xf numFmtId="0" fontId="28" fillId="0" borderId="16" xfId="0" applyFont="1" applyFill="1" applyBorder="1"/>
    <xf numFmtId="42" fontId="28" fillId="0" borderId="7" xfId="0" applyNumberFormat="1" applyFont="1" applyBorder="1"/>
    <xf numFmtId="42" fontId="28" fillId="0" borderId="8" xfId="0" applyNumberFormat="1" applyFont="1" applyBorder="1"/>
    <xf numFmtId="169" fontId="29" fillId="0" borderId="7" xfId="4" applyNumberFormat="1" applyFont="1" applyFill="1" applyBorder="1"/>
    <xf numFmtId="0" fontId="12" fillId="0" borderId="0" xfId="4" applyFont="1" applyFill="1" applyBorder="1"/>
    <xf numFmtId="164" fontId="29" fillId="3" borderId="7" xfId="6" applyNumberFormat="1" applyFont="1" applyFill="1" applyBorder="1" applyAlignment="1">
      <alignment horizontal="center"/>
    </xf>
    <xf numFmtId="42" fontId="30" fillId="0" borderId="0" xfId="5" applyNumberFormat="1" applyFont="1" applyFill="1" applyBorder="1" applyAlignment="1">
      <alignment horizontal="center"/>
    </xf>
    <xf numFmtId="41" fontId="30" fillId="0" borderId="3" xfId="5" applyNumberFormat="1" applyFont="1" applyFill="1" applyBorder="1" applyAlignment="1">
      <alignment horizontal="center"/>
    </xf>
    <xf numFmtId="5" fontId="29" fillId="0" borderId="0" xfId="5" applyNumberFormat="1" applyFont="1" applyFill="1" applyBorder="1" applyAlignment="1">
      <alignment horizontal="right"/>
    </xf>
    <xf numFmtId="37" fontId="30" fillId="0" borderId="0" xfId="5" applyNumberFormat="1" applyFont="1" applyFill="1" applyBorder="1" applyAlignment="1">
      <alignment horizontal="right"/>
    </xf>
    <xf numFmtId="5" fontId="26" fillId="0" borderId="3" xfId="5" applyNumberFormat="1" applyFont="1" applyFill="1" applyBorder="1" applyAlignment="1">
      <alignment horizontal="right"/>
    </xf>
    <xf numFmtId="171" fontId="0" fillId="0" borderId="13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16" xfId="0" applyBorder="1"/>
    <xf numFmtId="171" fontId="0" fillId="0" borderId="3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0" fontId="3" fillId="0" borderId="12" xfId="0" applyFont="1" applyBorder="1"/>
    <xf numFmtId="171" fontId="0" fillId="0" borderId="0" xfId="0" applyNumberFormat="1" applyBorder="1"/>
    <xf numFmtId="6" fontId="0" fillId="0" borderId="0" xfId="0" applyNumberFormat="1" applyBorder="1"/>
    <xf numFmtId="169" fontId="22" fillId="0" borderId="0" xfId="1" applyNumberFormat="1" applyFont="1" applyBorder="1"/>
    <xf numFmtId="10" fontId="0" fillId="0" borderId="0" xfId="3" applyNumberFormat="1" applyFont="1" applyBorder="1"/>
    <xf numFmtId="0" fontId="0" fillId="0" borderId="20" xfId="0" applyBorder="1" applyAlignment="1">
      <alignment horizontal="center"/>
    </xf>
    <xf numFmtId="170" fontId="33" fillId="0" borderId="0" xfId="0" applyNumberFormat="1" applyFont="1" applyAlignment="1">
      <alignment horizontal="right"/>
    </xf>
    <xf numFmtId="0" fontId="32" fillId="0" borderId="15" xfId="4" applyFont="1" applyFill="1" applyBorder="1"/>
    <xf numFmtId="0" fontId="32" fillId="0" borderId="16" xfId="4" applyFont="1" applyFill="1" applyBorder="1"/>
    <xf numFmtId="164" fontId="32" fillId="0" borderId="0" xfId="3" applyNumberFormat="1" applyFont="1" applyFill="1" applyBorder="1"/>
    <xf numFmtId="164" fontId="32" fillId="0" borderId="7" xfId="0" applyNumberFormat="1" applyFont="1" applyFill="1" applyBorder="1"/>
    <xf numFmtId="6" fontId="27" fillId="0" borderId="0" xfId="0" applyNumberFormat="1" applyFont="1" applyFill="1" applyBorder="1"/>
    <xf numFmtId="5" fontId="3" fillId="0" borderId="0" xfId="0" applyNumberFormat="1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73" fontId="34" fillId="0" borderId="0" xfId="3" applyNumberFormat="1" applyFont="1" applyFill="1" applyBorder="1" applyAlignment="1">
      <alignment horizontal="right"/>
    </xf>
    <xf numFmtId="37" fontId="28" fillId="0" borderId="0" xfId="0" applyNumberFormat="1" applyFont="1" applyFill="1" applyBorder="1" applyAlignment="1">
      <alignment horizontal="right"/>
    </xf>
    <xf numFmtId="5" fontId="28" fillId="0" borderId="0" xfId="0" applyNumberFormat="1" applyFont="1" applyFill="1" applyBorder="1" applyAlignment="1">
      <alignment horizontal="right"/>
    </xf>
    <xf numFmtId="165" fontId="25" fillId="0" borderId="0" xfId="3" applyNumberFormat="1" applyFont="1" applyFill="1" applyBorder="1" applyAlignment="1">
      <alignment horizontal="right"/>
    </xf>
    <xf numFmtId="0" fontId="24" fillId="0" borderId="0" xfId="4" applyFont="1" applyFill="1" applyBorder="1" applyAlignment="1">
      <alignment horizontal="right"/>
    </xf>
    <xf numFmtId="0" fontId="25" fillId="0" borderId="0" xfId="4" applyFont="1" applyFill="1" applyBorder="1" applyAlignment="1">
      <alignment horizontal="center"/>
    </xf>
    <xf numFmtId="43" fontId="30" fillId="0" borderId="0" xfId="1" applyFont="1" applyFill="1" applyBorder="1"/>
    <xf numFmtId="165" fontId="28" fillId="0" borderId="0" xfId="7" applyNumberFormat="1" applyFont="1" applyFill="1" applyBorder="1" applyAlignment="1">
      <alignment horizontal="right"/>
    </xf>
    <xf numFmtId="0" fontId="12" fillId="0" borderId="0" xfId="4" applyNumberFormat="1" applyFont="1" applyFill="1" applyBorder="1" applyAlignment="1">
      <alignment horizontal="centerContinuous"/>
    </xf>
    <xf numFmtId="0" fontId="31" fillId="0" borderId="0" xfId="0" applyFont="1" applyBorder="1"/>
    <xf numFmtId="170" fontId="33" fillId="0" borderId="0" xfId="0" applyNumberFormat="1" applyFont="1" applyBorder="1" applyAlignment="1">
      <alignment horizontal="right"/>
    </xf>
    <xf numFmtId="170" fontId="33" fillId="0" borderId="7" xfId="0" applyNumberFormat="1" applyFont="1" applyBorder="1" applyAlignment="1">
      <alignment horizontal="right"/>
    </xf>
    <xf numFmtId="170" fontId="32" fillId="0" borderId="0" xfId="0" applyNumberFormat="1" applyFont="1" applyBorder="1" applyAlignment="1"/>
    <xf numFmtId="170" fontId="32" fillId="0" borderId="7" xfId="0" applyNumberFormat="1" applyFont="1" applyBorder="1" applyAlignment="1"/>
    <xf numFmtId="165" fontId="28" fillId="0" borderId="0" xfId="0" applyNumberFormat="1" applyFont="1" applyFill="1" applyBorder="1" applyAlignment="1">
      <alignment horizontal="right"/>
    </xf>
    <xf numFmtId="165" fontId="28" fillId="0" borderId="7" xfId="0" applyNumberFormat="1" applyFont="1" applyFill="1" applyBorder="1" applyAlignment="1">
      <alignment horizontal="right"/>
    </xf>
    <xf numFmtId="0" fontId="28" fillId="0" borderId="0" xfId="0" applyFont="1" applyBorder="1" applyAlignment="1">
      <alignment horizontal="right"/>
    </xf>
    <xf numFmtId="37" fontId="28" fillId="0" borderId="0" xfId="0" applyNumberFormat="1" applyFont="1" applyBorder="1" applyAlignment="1">
      <alignment horizontal="right"/>
    </xf>
    <xf numFmtId="37" fontId="28" fillId="0" borderId="7" xfId="0" applyNumberFormat="1" applyFont="1" applyBorder="1" applyAlignment="1">
      <alignment horizontal="right"/>
    </xf>
    <xf numFmtId="5" fontId="28" fillId="0" borderId="0" xfId="0" applyNumberFormat="1" applyFont="1" applyBorder="1" applyAlignment="1">
      <alignment horizontal="right"/>
    </xf>
    <xf numFmtId="5" fontId="28" fillId="0" borderId="7" xfId="0" applyNumberFormat="1" applyFont="1" applyBorder="1" applyAlignment="1">
      <alignment horizontal="right"/>
    </xf>
    <xf numFmtId="5" fontId="25" fillId="0" borderId="0" xfId="0" applyNumberFormat="1" applyFont="1" applyBorder="1" applyAlignment="1">
      <alignment horizontal="right"/>
    </xf>
    <xf numFmtId="165" fontId="25" fillId="0" borderId="0" xfId="3" applyNumberFormat="1" applyFont="1" applyBorder="1" applyAlignment="1">
      <alignment horizontal="right"/>
    </xf>
    <xf numFmtId="166" fontId="30" fillId="0" borderId="0" xfId="4" applyNumberFormat="1" applyFont="1" applyFill="1" applyBorder="1"/>
    <xf numFmtId="0" fontId="32" fillId="0" borderId="0" xfId="4" applyFont="1" applyFill="1" applyBorder="1" applyAlignment="1">
      <alignment horizontal="center"/>
    </xf>
    <xf numFmtId="5" fontId="28" fillId="0" borderId="0" xfId="4" applyNumberFormat="1" applyFont="1" applyFill="1" applyBorder="1"/>
    <xf numFmtId="0" fontId="12" fillId="0" borderId="0" xfId="4" applyFont="1" applyFill="1" applyBorder="1" applyAlignment="1">
      <alignment horizontal="center"/>
    </xf>
    <xf numFmtId="5" fontId="27" fillId="0" borderId="0" xfId="4" applyNumberFormat="1" applyFont="1" applyFill="1" applyBorder="1"/>
    <xf numFmtId="164" fontId="3" fillId="0" borderId="0" xfId="0" applyNumberFormat="1" applyFont="1"/>
    <xf numFmtId="10" fontId="3" fillId="0" borderId="0" xfId="0" applyNumberFormat="1" applyFont="1"/>
    <xf numFmtId="10" fontId="3" fillId="0" borderId="0" xfId="0" applyNumberFormat="1" applyFont="1" applyFill="1" applyBorder="1"/>
    <xf numFmtId="10" fontId="3" fillId="0" borderId="0" xfId="3" applyNumberFormat="1" applyFont="1"/>
    <xf numFmtId="0" fontId="12" fillId="0" borderId="0" xfId="98" applyFont="1" applyFill="1" applyBorder="1" applyAlignment="1">
      <alignment horizontal="center"/>
    </xf>
    <xf numFmtId="164" fontId="29" fillId="3" borderId="0" xfId="3" applyNumberFormat="1" applyFont="1" applyFill="1" applyBorder="1" applyAlignment="1">
      <alignment horizontal="center"/>
    </xf>
    <xf numFmtId="164" fontId="29" fillId="3" borderId="3" xfId="3" applyNumberFormat="1" applyFont="1" applyFill="1" applyBorder="1" applyAlignment="1">
      <alignment horizontal="center"/>
    </xf>
    <xf numFmtId="6" fontId="28" fillId="0" borderId="7" xfId="0" applyNumberFormat="1" applyFont="1" applyFill="1" applyBorder="1"/>
    <xf numFmtId="0" fontId="148" fillId="0" borderId="16" xfId="0" applyFont="1" applyBorder="1"/>
    <xf numFmtId="0" fontId="28" fillId="0" borderId="0" xfId="0" applyFont="1"/>
    <xf numFmtId="166" fontId="148" fillId="0" borderId="0" xfId="1" applyNumberFormat="1" applyFont="1" applyFill="1" applyBorder="1"/>
    <xf numFmtId="0" fontId="149" fillId="0" borderId="0" xfId="0" applyFont="1" applyBorder="1"/>
    <xf numFmtId="0" fontId="149" fillId="0" borderId="7" xfId="0" applyFont="1" applyBorder="1"/>
    <xf numFmtId="0" fontId="28" fillId="0" borderId="7" xfId="0" applyFont="1" applyBorder="1"/>
    <xf numFmtId="43" fontId="28" fillId="0" borderId="0" xfId="0" applyNumberFormat="1" applyFont="1" applyFill="1" applyBorder="1"/>
    <xf numFmtId="0" fontId="31" fillId="0" borderId="0" xfId="0" applyFont="1" applyFill="1" applyBorder="1"/>
    <xf numFmtId="6" fontId="28" fillId="0" borderId="0" xfId="0" applyNumberFormat="1" applyFont="1" applyBorder="1"/>
    <xf numFmtId="0" fontId="28" fillId="0" borderId="15" xfId="0" applyFont="1" applyBorder="1" applyAlignment="1">
      <alignment horizontal="left"/>
    </xf>
    <xf numFmtId="0" fontId="28" fillId="0" borderId="15" xfId="0" applyFont="1" applyBorder="1" applyAlignment="1">
      <alignment horizontal="left" indent="3"/>
    </xf>
    <xf numFmtId="0" fontId="150" fillId="0" borderId="0" xfId="0" applyFont="1" applyBorder="1" applyAlignment="1">
      <alignment horizontal="right"/>
    </xf>
    <xf numFmtId="2" fontId="28" fillId="0" borderId="0" xfId="0" applyNumberFormat="1" applyFont="1" applyBorder="1" applyAlignment="1">
      <alignment horizontal="right"/>
    </xf>
    <xf numFmtId="2" fontId="28" fillId="0" borderId="7" xfId="0" applyNumberFormat="1" applyFont="1" applyBorder="1" applyAlignment="1">
      <alignment horizontal="right"/>
    </xf>
    <xf numFmtId="0" fontId="28" fillId="0" borderId="7" xfId="0" applyFont="1" applyBorder="1" applyAlignment="1">
      <alignment horizontal="right"/>
    </xf>
    <xf numFmtId="173" fontId="29" fillId="3" borderId="0" xfId="3" applyNumberFormat="1" applyFont="1" applyFill="1" applyBorder="1" applyAlignment="1">
      <alignment horizontal="right"/>
    </xf>
    <xf numFmtId="173" fontId="29" fillId="3" borderId="7" xfId="3" applyNumberFormat="1" applyFont="1" applyFill="1" applyBorder="1" applyAlignment="1">
      <alignment horizontal="right"/>
    </xf>
    <xf numFmtId="173" fontId="29" fillId="0" borderId="0" xfId="3" applyNumberFormat="1" applyFont="1" applyFill="1" applyBorder="1" applyAlignment="1">
      <alignment horizontal="right"/>
    </xf>
    <xf numFmtId="173" fontId="29" fillId="0" borderId="7" xfId="3" applyNumberFormat="1" applyFont="1" applyFill="1" applyBorder="1" applyAlignment="1">
      <alignment horizontal="right"/>
    </xf>
    <xf numFmtId="0" fontId="28" fillId="0" borderId="15" xfId="0" applyFont="1" applyFill="1" applyBorder="1" applyAlignment="1">
      <alignment horizontal="left" indent="3"/>
    </xf>
    <xf numFmtId="164" fontId="29" fillId="3" borderId="0" xfId="3" applyNumberFormat="1" applyFont="1" applyFill="1" applyBorder="1"/>
    <xf numFmtId="164" fontId="27" fillId="0" borderId="0" xfId="3" applyNumberFormat="1" applyFont="1" applyBorder="1"/>
    <xf numFmtId="0" fontId="28" fillId="0" borderId="3" xfId="0" applyFont="1" applyBorder="1"/>
    <xf numFmtId="37" fontId="28" fillId="0" borderId="7" xfId="0" applyNumberFormat="1" applyFont="1" applyFill="1" applyBorder="1" applyAlignment="1">
      <alignment horizontal="right"/>
    </xf>
    <xf numFmtId="0" fontId="28" fillId="0" borderId="0" xfId="0" applyFont="1" applyBorder="1" applyAlignment="1"/>
    <xf numFmtId="0" fontId="28" fillId="0" borderId="7" xfId="0" applyFont="1" applyBorder="1" applyAlignment="1"/>
    <xf numFmtId="7" fontId="27" fillId="0" borderId="0" xfId="4" applyNumberFormat="1" applyFont="1" applyFill="1" applyBorder="1" applyAlignment="1"/>
    <xf numFmtId="0" fontId="27" fillId="0" borderId="0" xfId="4" applyFont="1" applyFill="1" applyBorder="1" applyAlignment="1"/>
    <xf numFmtId="0" fontId="28" fillId="0" borderId="0" xfId="4" applyFont="1" applyFill="1" applyBorder="1" applyAlignment="1"/>
    <xf numFmtId="165" fontId="28" fillId="0" borderId="0" xfId="7" applyNumberFormat="1" applyFont="1" applyFill="1" applyBorder="1" applyAlignment="1"/>
    <xf numFmtId="165" fontId="30" fillId="0" borderId="0" xfId="7" applyNumberFormat="1" applyFont="1" applyFill="1" applyBorder="1" applyAlignment="1"/>
    <xf numFmtId="43" fontId="30" fillId="0" borderId="0" xfId="1" applyFont="1" applyFill="1" applyBorder="1" applyAlignment="1"/>
    <xf numFmtId="43" fontId="30" fillId="0" borderId="7" xfId="1" applyFont="1" applyFill="1" applyBorder="1" applyAlignment="1"/>
    <xf numFmtId="166" fontId="28" fillId="0" borderId="0" xfId="5" applyNumberFormat="1" applyFont="1" applyFill="1" applyBorder="1" applyAlignment="1"/>
    <xf numFmtId="165" fontId="28" fillId="0" borderId="7" xfId="7" applyNumberFormat="1" applyFont="1" applyFill="1" applyBorder="1" applyAlignment="1"/>
    <xf numFmtId="166" fontId="28" fillId="0" borderId="7" xfId="5" applyNumberFormat="1" applyFont="1" applyFill="1" applyBorder="1" applyAlignment="1"/>
    <xf numFmtId="166" fontId="30" fillId="0" borderId="0" xfId="5" applyNumberFormat="1" applyFont="1" applyFill="1" applyBorder="1" applyAlignment="1"/>
    <xf numFmtId="166" fontId="30" fillId="0" borderId="7" xfId="5" applyNumberFormat="1" applyFont="1" applyFill="1" applyBorder="1" applyAlignment="1"/>
    <xf numFmtId="0" fontId="27" fillId="0" borderId="7" xfId="4" applyFont="1" applyFill="1" applyBorder="1" applyAlignment="1"/>
    <xf numFmtId="165" fontId="30" fillId="0" borderId="7" xfId="7" applyNumberFormat="1" applyFont="1" applyFill="1" applyBorder="1" applyAlignment="1"/>
    <xf numFmtId="3" fontId="28" fillId="0" borderId="7" xfId="0" applyNumberFormat="1" applyFont="1" applyBorder="1" applyAlignment="1"/>
    <xf numFmtId="0" fontId="28" fillId="0" borderId="3" xfId="0" applyFont="1" applyBorder="1" applyAlignment="1"/>
    <xf numFmtId="3" fontId="28" fillId="0" borderId="3" xfId="0" applyNumberFormat="1" applyFont="1" applyBorder="1" applyAlignment="1"/>
    <xf numFmtId="3" fontId="28" fillId="0" borderId="8" xfId="0" applyNumberFormat="1" applyFont="1" applyBorder="1" applyAlignment="1"/>
    <xf numFmtId="0" fontId="25" fillId="0" borderId="0" xfId="4" applyFont="1" applyFill="1" applyBorder="1"/>
    <xf numFmtId="0" fontId="24" fillId="6" borderId="59" xfId="4" applyFont="1" applyFill="1" applyBorder="1"/>
    <xf numFmtId="0" fontId="24" fillId="6" borderId="58" xfId="4" applyFont="1" applyFill="1" applyBorder="1"/>
    <xf numFmtId="0" fontId="24" fillId="6" borderId="58" xfId="4" applyFont="1" applyFill="1" applyBorder="1" applyAlignment="1">
      <alignment horizontal="right"/>
    </xf>
    <xf numFmtId="0" fontId="24" fillId="6" borderId="60" xfId="4" applyFont="1" applyFill="1" applyBorder="1" applyAlignment="1">
      <alignment horizontal="right"/>
    </xf>
    <xf numFmtId="5" fontId="26" fillId="0" borderId="58" xfId="5" applyNumberFormat="1" applyFont="1" applyFill="1" applyBorder="1" applyAlignment="1">
      <alignment horizontal="right"/>
    </xf>
    <xf numFmtId="164" fontId="26" fillId="0" borderId="60" xfId="6" applyNumberFormat="1" applyFont="1" applyFill="1" applyBorder="1" applyAlignment="1">
      <alignment horizontal="center"/>
    </xf>
    <xf numFmtId="0" fontId="28" fillId="0" borderId="61" xfId="0" applyFont="1" applyBorder="1" applyAlignment="1">
      <alignment horizontal="left"/>
    </xf>
    <xf numFmtId="0" fontId="28" fillId="0" borderId="62" xfId="0" applyFont="1" applyBorder="1"/>
    <xf numFmtId="5" fontId="28" fillId="0" borderId="62" xfId="0" applyNumberFormat="1" applyFont="1" applyBorder="1" applyAlignment="1">
      <alignment horizontal="right"/>
    </xf>
    <xf numFmtId="5" fontId="28" fillId="0" borderId="63" xfId="0" applyNumberFormat="1" applyFont="1" applyBorder="1" applyAlignment="1">
      <alignment horizontal="right"/>
    </xf>
    <xf numFmtId="0" fontId="25" fillId="7" borderId="59" xfId="4" applyFont="1" applyFill="1" applyBorder="1"/>
    <xf numFmtId="0" fontId="24" fillId="7" borderId="58" xfId="4" applyFont="1" applyFill="1" applyBorder="1"/>
    <xf numFmtId="0" fontId="25" fillId="7" borderId="58" xfId="4" applyFont="1" applyFill="1" applyBorder="1"/>
    <xf numFmtId="0" fontId="24" fillId="7" borderId="58" xfId="4" applyFont="1" applyFill="1" applyBorder="1" applyAlignment="1">
      <alignment horizontal="right"/>
    </xf>
    <xf numFmtId="0" fontId="24" fillId="7" borderId="60" xfId="4" applyFont="1" applyFill="1" applyBorder="1" applyAlignment="1">
      <alignment horizontal="right"/>
    </xf>
    <xf numFmtId="0" fontId="24" fillId="6" borderId="55" xfId="4" applyFont="1" applyFill="1" applyBorder="1"/>
    <xf numFmtId="0" fontId="25" fillId="6" borderId="56" xfId="4" applyFont="1" applyFill="1" applyBorder="1"/>
    <xf numFmtId="0" fontId="25" fillId="6" borderId="56" xfId="4" applyFont="1" applyFill="1" applyBorder="1" applyAlignment="1">
      <alignment horizontal="center"/>
    </xf>
    <xf numFmtId="0" fontId="25" fillId="6" borderId="57" xfId="4" applyFont="1" applyFill="1" applyBorder="1" applyAlignment="1">
      <alignment horizontal="center"/>
    </xf>
    <xf numFmtId="164" fontId="12" fillId="0" borderId="54" xfId="4" applyNumberFormat="1" applyFont="1" applyFill="1" applyBorder="1" applyAlignment="1">
      <alignment horizontal="center"/>
    </xf>
    <xf numFmtId="2" fontId="12" fillId="0" borderId="54" xfId="4" applyNumberFormat="1" applyFont="1" applyFill="1" applyBorder="1" applyAlignment="1">
      <alignment horizontal="center"/>
    </xf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171" fontId="151" fillId="0" borderId="14" xfId="0" applyNumberFormat="1" applyFont="1" applyBorder="1"/>
    <xf numFmtId="10" fontId="151" fillId="0" borderId="7" xfId="0" applyNumberFormat="1" applyFont="1" applyBorder="1"/>
    <xf numFmtId="169" fontId="151" fillId="0" borderId="8" xfId="1" applyNumberFormat="1" applyFont="1" applyBorder="1"/>
    <xf numFmtId="164" fontId="152" fillId="0" borderId="12" xfId="3" applyNumberFormat="1" applyFont="1" applyFill="1" applyBorder="1" applyAlignment="1">
      <alignment horizontal="center"/>
    </xf>
    <xf numFmtId="164" fontId="152" fillId="0" borderId="13" xfId="3" applyNumberFormat="1" applyFont="1" applyFill="1" applyBorder="1" applyAlignment="1">
      <alignment horizontal="center"/>
    </xf>
    <xf numFmtId="164" fontId="152" fillId="13" borderId="15" xfId="3" applyNumberFormat="1" applyFont="1" applyFill="1" applyBorder="1" applyAlignment="1">
      <alignment horizontal="center"/>
    </xf>
    <xf numFmtId="164" fontId="152" fillId="13" borderId="0" xfId="3" applyNumberFormat="1" applyFont="1" applyFill="1" applyBorder="1" applyAlignment="1">
      <alignment horizontal="center"/>
    </xf>
    <xf numFmtId="164" fontId="152" fillId="0" borderId="15" xfId="3" applyNumberFormat="1" applyFont="1" applyFill="1" applyBorder="1" applyAlignment="1">
      <alignment horizontal="center"/>
    </xf>
    <xf numFmtId="164" fontId="152" fillId="0" borderId="0" xfId="3" applyNumberFormat="1" applyFont="1" applyFill="1" applyBorder="1" applyAlignment="1">
      <alignment horizontal="center"/>
    </xf>
    <xf numFmtId="164" fontId="152" fillId="8" borderId="15" xfId="3" applyNumberFormat="1" applyFont="1" applyFill="1" applyBorder="1" applyAlignment="1">
      <alignment horizontal="center"/>
    </xf>
    <xf numFmtId="164" fontId="152" fillId="8" borderId="0" xfId="3" applyNumberFormat="1" applyFont="1" applyFill="1" applyBorder="1" applyAlignment="1">
      <alignment horizontal="center"/>
    </xf>
    <xf numFmtId="171" fontId="152" fillId="0" borderId="0" xfId="61" applyNumberFormat="1" applyFont="1" applyFill="1" applyBorder="1" applyAlignment="1">
      <alignment horizontal="center"/>
    </xf>
    <xf numFmtId="171" fontId="152" fillId="8" borderId="0" xfId="61" applyNumberFormat="1" applyFont="1" applyFill="1" applyBorder="1" applyAlignment="1">
      <alignment horizontal="center"/>
    </xf>
    <xf numFmtId="10" fontId="153" fillId="0" borderId="0" xfId="3" applyNumberFormat="1" applyFont="1" applyFill="1" applyBorder="1" applyAlignment="1">
      <alignment horizontal="center"/>
    </xf>
    <xf numFmtId="9" fontId="28" fillId="0" borderId="0" xfId="3" applyFont="1" applyBorder="1" applyAlignment="1">
      <alignment horizontal="right"/>
    </xf>
    <xf numFmtId="164" fontId="28" fillId="0" borderId="0" xfId="3" applyNumberFormat="1" applyFont="1" applyBorder="1" applyAlignment="1">
      <alignment horizontal="right"/>
    </xf>
    <xf numFmtId="3" fontId="27" fillId="0" borderId="0" xfId="4" applyNumberFormat="1" applyFont="1" applyFill="1" applyBorder="1"/>
    <xf numFmtId="3" fontId="27" fillId="0" borderId="0" xfId="4" applyNumberFormat="1" applyFont="1" applyFill="1" applyBorder="1" applyAlignment="1"/>
    <xf numFmtId="6" fontId="28" fillId="0" borderId="8" xfId="0" applyNumberFormat="1" applyFont="1" applyFill="1" applyBorder="1"/>
    <xf numFmtId="10" fontId="29" fillId="3" borderId="7" xfId="3" applyNumberFormat="1" applyFont="1" applyFill="1" applyBorder="1"/>
    <xf numFmtId="169" fontId="29" fillId="3" borderId="7" xfId="0" applyNumberFormat="1" applyFont="1" applyFill="1" applyBorder="1"/>
    <xf numFmtId="42" fontId="11" fillId="0" borderId="4" xfId="1" applyNumberFormat="1" applyFont="1" applyFill="1" applyBorder="1"/>
    <xf numFmtId="42" fontId="11" fillId="0" borderId="0" xfId="0" applyNumberFormat="1" applyFont="1" applyFill="1" applyBorder="1"/>
    <xf numFmtId="2" fontId="28" fillId="0" borderId="0" xfId="0" applyNumberFormat="1" applyFont="1" applyBorder="1"/>
    <xf numFmtId="2" fontId="28" fillId="0" borderId="7" xfId="0" applyNumberFormat="1" applyFont="1" applyBorder="1"/>
    <xf numFmtId="0" fontId="24" fillId="6" borderId="59" xfId="4" applyNumberFormat="1" applyFont="1" applyFill="1" applyBorder="1" applyAlignment="1">
      <alignment horizontal="centerContinuous"/>
    </xf>
    <xf numFmtId="0" fontId="24" fillId="6" borderId="58" xfId="4" applyNumberFormat="1" applyFont="1" applyFill="1" applyBorder="1" applyAlignment="1">
      <alignment horizontal="centerContinuous"/>
    </xf>
    <xf numFmtId="0" fontId="24" fillId="6" borderId="60" xfId="4" applyNumberFormat="1" applyFont="1" applyFill="1" applyBorder="1" applyAlignment="1">
      <alignment horizontal="centerContinuous"/>
    </xf>
    <xf numFmtId="9" fontId="28" fillId="0" borderId="7" xfId="3" applyFont="1" applyBorder="1" applyAlignment="1">
      <alignment horizontal="right"/>
    </xf>
    <xf numFmtId="0" fontId="28" fillId="0" borderId="16" xfId="0" applyFont="1" applyBorder="1" applyAlignment="1">
      <alignment horizontal="left"/>
    </xf>
    <xf numFmtId="5" fontId="28" fillId="0" borderId="3" xfId="0" applyNumberFormat="1" applyFont="1" applyBorder="1" applyAlignment="1">
      <alignment horizontal="right"/>
    </xf>
    <xf numFmtId="5" fontId="28" fillId="0" borderId="8" xfId="0" applyNumberFormat="1" applyFont="1" applyBorder="1" applyAlignment="1">
      <alignment horizontal="right"/>
    </xf>
    <xf numFmtId="3" fontId="27" fillId="0" borderId="7" xfId="4" applyNumberFormat="1" applyFont="1" applyFill="1" applyBorder="1" applyAlignment="1"/>
    <xf numFmtId="4" fontId="28" fillId="0" borderId="7" xfId="0" applyNumberFormat="1" applyFont="1" applyBorder="1" applyAlignment="1"/>
    <xf numFmtId="0" fontId="3" fillId="0" borderId="0" xfId="3195" applyFont="1"/>
    <xf numFmtId="0" fontId="3" fillId="0" borderId="0" xfId="3195"/>
    <xf numFmtId="0" fontId="1" fillId="0" borderId="0" xfId="3196"/>
    <xf numFmtId="0" fontId="14" fillId="0" borderId="0" xfId="3195" applyFont="1"/>
    <xf numFmtId="0" fontId="3" fillId="3" borderId="0" xfId="3195" applyFill="1"/>
    <xf numFmtId="0" fontId="3" fillId="4" borderId="0" xfId="3195" applyFill="1"/>
    <xf numFmtId="166" fontId="3" fillId="0" borderId="0" xfId="1" applyNumberFormat="1" applyFont="1" applyFill="1" applyBorder="1" applyAlignment="1">
      <alignment horizontal="right"/>
    </xf>
    <xf numFmtId="0" fontId="0" fillId="0" borderId="0" xfId="0" applyFill="1" applyAlignment="1">
      <alignment horizontal="right"/>
    </xf>
    <xf numFmtId="3" fontId="0" fillId="0" borderId="0" xfId="0" applyNumberFormat="1" applyFill="1" applyAlignment="1">
      <alignment horizontal="right"/>
    </xf>
    <xf numFmtId="3" fontId="0" fillId="0" borderId="3" xfId="0" applyNumberFormat="1" applyFill="1" applyBorder="1" applyAlignment="1">
      <alignment horizontal="right"/>
    </xf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4" fillId="6" borderId="56" xfId="4" applyFont="1" applyFill="1" applyBorder="1" applyAlignment="1">
      <alignment horizontal="center"/>
    </xf>
    <xf numFmtId="0" fontId="24" fillId="6" borderId="15" xfId="4" applyFont="1" applyFill="1" applyBorder="1" applyAlignment="1">
      <alignment horizontal="center"/>
    </xf>
    <xf numFmtId="0" fontId="24" fillId="6" borderId="0" xfId="4" applyFont="1" applyFill="1" applyBorder="1" applyAlignment="1">
      <alignment horizontal="center"/>
    </xf>
    <xf numFmtId="0" fontId="24" fillId="6" borderId="7" xfId="4" applyFont="1" applyFill="1" applyBorder="1" applyAlignment="1">
      <alignment horizontal="center"/>
    </xf>
    <xf numFmtId="0" fontId="24" fillId="6" borderId="52" xfId="98" applyFont="1" applyFill="1" applyBorder="1" applyAlignment="1">
      <alignment horizontal="center"/>
    </xf>
    <xf numFmtId="0" fontId="24" fillId="6" borderId="53" xfId="98" applyFont="1" applyFill="1" applyBorder="1" applyAlignment="1">
      <alignment horizontal="center"/>
    </xf>
  </cellXfs>
  <cellStyles count="3197">
    <cellStyle name="%" xfId="158"/>
    <cellStyle name="%0" xfId="159"/>
    <cellStyle name="%1" xfId="160"/>
    <cellStyle name="%2" xfId="161"/>
    <cellStyle name=";;;" xfId="162"/>
    <cellStyle name="??" xfId="163"/>
    <cellStyle name="?? [0.00]_PERSONAL" xfId="164"/>
    <cellStyle name="???? [0.00]_PERSONAL" xfId="165"/>
    <cellStyle name="????_PERSONAL" xfId="166"/>
    <cellStyle name="??_PERSONAL" xfId="167"/>
    <cellStyle name="_220 E 63rd - Q4RF - VALUATIONv4" xfId="168"/>
    <cellStyle name="_Comma" xfId="169"/>
    <cellStyle name="_Currency" xfId="170"/>
    <cellStyle name="_Currency_MDL (Delaware) LLC" xfId="171"/>
    <cellStyle name="_CurrencySpace" xfId="172"/>
    <cellStyle name="_Multiple" xfId="173"/>
    <cellStyle name="_Multiple_MDL (Delaware) LLC" xfId="174"/>
    <cellStyle name="_MultipleSpace" xfId="175"/>
    <cellStyle name="_MultipleSpace_MDL (Delaware) LLC" xfId="176"/>
    <cellStyle name="_Percent" xfId="177"/>
    <cellStyle name="_Percent_MDL (Delaware) LLC" xfId="178"/>
    <cellStyle name="_PercentSpace" xfId="179"/>
    <cellStyle name="_PercentSpace_MDL (Delaware) LLC" xfId="180"/>
    <cellStyle name="£ BP" xfId="181"/>
    <cellStyle name="£Currency [0]" xfId="182"/>
    <cellStyle name="£Currency [1]" xfId="183"/>
    <cellStyle name="£Currency [2]" xfId="184"/>
    <cellStyle name="£Currency [p]" xfId="185"/>
    <cellStyle name="£Currency [p2]" xfId="186"/>
    <cellStyle name="£Pounds" xfId="187"/>
    <cellStyle name="¥ JY" xfId="188"/>
    <cellStyle name="•W€_Evergreen" xfId="190"/>
    <cellStyle name="•W_surces &amp; uses" xfId="189"/>
    <cellStyle name="0" xfId="191"/>
    <cellStyle name="0.0x" xfId="192"/>
    <cellStyle name="1st indent" xfId="193"/>
    <cellStyle name="2nd indent" xfId="194"/>
    <cellStyle name="3rd indent" xfId="195"/>
    <cellStyle name="4th indent" xfId="196"/>
    <cellStyle name="5th indent" xfId="197"/>
    <cellStyle name="6th indent" xfId="198"/>
    <cellStyle name="A" xfId="9"/>
    <cellStyle name="A3 297 x 420 mm" xfId="199"/>
    <cellStyle name="active" xfId="200"/>
    <cellStyle name="Actual Date" xfId="201"/>
    <cellStyle name="Actual Date 2" xfId="202"/>
    <cellStyle name="Arial 10" xfId="203"/>
    <cellStyle name="Arial 12" xfId="204"/>
    <cellStyle name="at" xfId="205"/>
    <cellStyle name="b" xfId="206"/>
    <cellStyle name="b%0" xfId="207"/>
    <cellStyle name="b%1" xfId="208"/>
    <cellStyle name="b%2" xfId="209"/>
    <cellStyle name="b_1133 York 2005 BP Draft" xfId="210"/>
    <cellStyle name="b_1133 York Q4RF - VALUATION - $36mm SPv3" xfId="211"/>
    <cellStyle name="b_Dispo Memo Charts" xfId="212"/>
    <cellStyle name="b_FINAL UW MODEL Model v25 4 yr with pref equity opex 11_29 KROGER v2" xfId="213"/>
    <cellStyle name="b_Grandview Condo Model 1-4-05 v2" xfId="214"/>
    <cellStyle name="b_LBREP--_Crescent Cove_v24 - To Asst Mgmt" xfId="215"/>
    <cellStyle name="b_LBREP--_Crescent Cove_v24 - To Asst Mgmt (2)" xfId="216"/>
    <cellStyle name="b_LBREP--_Crescent Cove_v24 - To Asst Mgmt v6" xfId="217"/>
    <cellStyle name="b_Q2 2006 Valuation Template" xfId="218"/>
    <cellStyle name="b_Ridge Final UW Model" xfId="219"/>
    <cellStyle name="b_Valuation roll up - SunCal Master III 11.28.2007 Base Case new PSV &amp; 10k @ 1.35mm" xfId="220"/>
    <cellStyle name="b_Valuation Summary New Format v4" xfId="221"/>
    <cellStyle name="b_Valuation Summary New Format wCapRateSensitivity v4" xfId="222"/>
    <cellStyle name="b0" xfId="223"/>
    <cellStyle name="b09" xfId="224"/>
    <cellStyle name="b1" xfId="225"/>
    <cellStyle name="b2" xfId="226"/>
    <cellStyle name="BLACK" xfId="227"/>
    <cellStyle name="blue" xfId="228"/>
    <cellStyle name="blue$00" xfId="229"/>
    <cellStyle name="bo" xfId="230"/>
    <cellStyle name="Bold and Bottom line" xfId="231"/>
    <cellStyle name="Bold/Border" xfId="232"/>
    <cellStyle name="Bold/Border 2" xfId="233"/>
    <cellStyle name="Border Heavy" xfId="234"/>
    <cellStyle name="Border Thin" xfId="235"/>
    <cellStyle name="Bottom" xfId="236"/>
    <cellStyle name="Bottom 2" xfId="237"/>
    <cellStyle name="Bottom Border Line" xfId="238"/>
    <cellStyle name="bout" xfId="239"/>
    <cellStyle name="bout 2" xfId="240"/>
    <cellStyle name="British Pound" xfId="241"/>
    <cellStyle name="bt" xfId="242"/>
    <cellStyle name="bt 2" xfId="243"/>
    <cellStyle name="btit" xfId="244"/>
    <cellStyle name="Bullet" xfId="245"/>
    <cellStyle name="c" xfId="246"/>
    <cellStyle name="c_1200 Brickell Trimont Model 2004_09_14" xfId="247"/>
    <cellStyle name="c_Downey Charts" xfId="248"/>
    <cellStyle name="c_Downey Charts_Sheraton Tampa AM Model 112805" xfId="249"/>
    <cellStyle name="c_Downey Charts_SOSJ AM Model (w 06 Budget &amp; refi) 2-16-06" xfId="250"/>
    <cellStyle name="c_Downey Charts_SOSJ AM Model (w 06 Budget &amp; refi) 2-16-06_150 Charles Street model - 2007.12.20 - Valuation v4 Markup" xfId="251"/>
    <cellStyle name="c_Downey Charts_SOSJ AM Model (w 06 Budget &amp; refi) 2-16-06_150 Charles Street model - 2008.01.31 - Reconciled" xfId="252"/>
    <cellStyle name="c_Downey Charts_SOSJ AM Model (w 06 Budget &amp; refi) 2-16-06_Apartment Model" xfId="253"/>
    <cellStyle name="c_Downey Charts_SOSJ AM Model (w 06 Budget &amp; refi) 2-16-06_Apartment Model 5.31.08v3" xfId="254"/>
    <cellStyle name="c_Downey Charts_SOSJ AM Model (w 06 Budget &amp; refi) 2-16-06_Charles St Model - 2008.09.30" xfId="255"/>
    <cellStyle name="c_Downey Charts_SOSJ AM Model (w 06 Budget &amp; refi) 2-16-06_Ridge Asset Managment Model 5.31.08v3" xfId="256"/>
    <cellStyle name="c_Downey Charts_SOSJ AM Model (w 06 Budget &amp; refi) 2-16-06_Ridge Asset Managment Model 7.31.08" xfId="257"/>
    <cellStyle name="c_Downey Charts_SOSJ AM Model (w 06 Budget &amp; refi) 2-16-06_Ridge Asset Managment Model Q1 Valuations" xfId="258"/>
    <cellStyle name="c_Downey Charts_SOSJ AM Model (w 06 Budget &amp; refi) 2-16-06_Ridge Asset Managment Model Q2 Valuation" xfId="259"/>
    <cellStyle name="c_Downey Charts_SOSJ AM Model (w 06 Budget &amp; refi) 2-16-06_Trimont Asset Management Model V1" xfId="260"/>
    <cellStyle name="c_Downey Charts_SOSJ AM Model (w 06 Budget &amp; refi) 2-16-06_Trimont Asset Management Model V2" xfId="261"/>
    <cellStyle name="c_Downey Charts_SOSJ AM Model (w 06 Budget &amp; refi) 2-16-06_Valuation Summary New Format wCapRateSensitivity v5" xfId="262"/>
    <cellStyle name="c_Downey Charts_SOSJ AM Model (w 06 Budget &amp; refi) 2-16-06_Valuation Template Non Operaating Deal 06.12.08" xfId="263"/>
    <cellStyle name="c_Downey Charts_SOSJ AM Model (w 06 Budget &amp; refi) 2-16-06_Valuation Template Operating Deal 06.10.08" xfId="264"/>
    <cellStyle name="c_Grouse+Pelican" xfId="265"/>
    <cellStyle name="c_Macros" xfId="266"/>
    <cellStyle name="c_Macros (2)" xfId="267"/>
    <cellStyle name="c_Macros (2)_1200 Brickell Trimont Model 2004_09_14" xfId="268"/>
    <cellStyle name="c_Macros (2)_BPSCI" xfId="269"/>
    <cellStyle name="c_Macros (2)_CFTenant" xfId="270"/>
    <cellStyle name="c_Macros (2)_CFTenant.xls Chart 10" xfId="271"/>
    <cellStyle name="c_Macros (2)_CFTenant.xls Chart 11" xfId="272"/>
    <cellStyle name="c_Macros (2)_CFTenant.xls Chart 12" xfId="273"/>
    <cellStyle name="c_Macros (2)_CFTenant.xls Chart 4" xfId="274"/>
    <cellStyle name="c_Macros (2)_CFTenant.xls Chart 6" xfId="275"/>
    <cellStyle name="c_Macros (2)_CFTenant.xls Chart 7" xfId="276"/>
    <cellStyle name="c_Macros (2)_CFTenant.xls Chart 8" xfId="277"/>
    <cellStyle name="c_Macros (2)_CFTenant.xls Chart 9" xfId="278"/>
    <cellStyle name="c_Macros (2)_Downey Charts" xfId="279"/>
    <cellStyle name="c_Macros (2)_Perry" xfId="280"/>
    <cellStyle name="c_Macros_1200 Brickell Trimont Model 2004_09_14" xfId="281"/>
    <cellStyle name="c_Macros_BPSCI" xfId="282"/>
    <cellStyle name="c_Macros_CFTenant" xfId="283"/>
    <cellStyle name="c_Macros_CFTenant.xls Chart 10" xfId="284"/>
    <cellStyle name="c_Macros_CFTenant.xls Chart 11" xfId="285"/>
    <cellStyle name="c_Macros_CFTenant.xls Chart 12" xfId="286"/>
    <cellStyle name="c_Macros_CFTenant.xls Chart 4" xfId="287"/>
    <cellStyle name="c_Macros_CFTenant.xls Chart 6" xfId="288"/>
    <cellStyle name="c_Macros_CFTenant.xls Chart 7" xfId="289"/>
    <cellStyle name="c_Macros_CFTenant.xls Chart 8" xfId="290"/>
    <cellStyle name="c_Macros_CFTenant.xls Chart 9" xfId="291"/>
    <cellStyle name="c_Macros_Downey Charts" xfId="292"/>
    <cellStyle name="c_Macros_Perry" xfId="293"/>
    <cellStyle name="c_Manager (2)" xfId="294"/>
    <cellStyle name="c_Manager (2)_1200 Brickell Trimont Model 2004_09_14" xfId="295"/>
    <cellStyle name="c_Manager (2)_BPSCI" xfId="296"/>
    <cellStyle name="c_Manager (2)_CFTenant" xfId="297"/>
    <cellStyle name="c_Manager (2)_CFTenant.xls Chart 10" xfId="298"/>
    <cellStyle name="c_Manager (2)_CFTenant.xls Chart 11" xfId="299"/>
    <cellStyle name="c_Manager (2)_CFTenant.xls Chart 12" xfId="300"/>
    <cellStyle name="c_Manager (2)_CFTenant.xls Chart 4" xfId="301"/>
    <cellStyle name="c_Manager (2)_CFTenant.xls Chart 6" xfId="302"/>
    <cellStyle name="c_Manager (2)_CFTenant.xls Chart 7" xfId="303"/>
    <cellStyle name="c_Manager (2)_CFTenant.xls Chart 8" xfId="304"/>
    <cellStyle name="c_Manager (2)_CFTenant.xls Chart 9" xfId="305"/>
    <cellStyle name="c_Manager (2)_Downey Charts" xfId="306"/>
    <cellStyle name="c_Manager (2)_Perry" xfId="307"/>
    <cellStyle name="c0" xfId="308"/>
    <cellStyle name="cach" xfId="309"/>
    <cellStyle name="Calc Currency (0)" xfId="310"/>
    <cellStyle name="Calc Currency (2)" xfId="311"/>
    <cellStyle name="Calc Percent (0)" xfId="312"/>
    <cellStyle name="Calc Percent (1)" xfId="313"/>
    <cellStyle name="Calc Percent (2)" xfId="314"/>
    <cellStyle name="Calc Units (0)" xfId="315"/>
    <cellStyle name="Calc Units (1)" xfId="316"/>
    <cellStyle name="Calc Units (2)" xfId="317"/>
    <cellStyle name="Case" xfId="318"/>
    <cellStyle name="cedric" xfId="319"/>
    <cellStyle name="cedric 2" xfId="320"/>
    <cellStyle name="co" xfId="321"/>
    <cellStyle name="ColumnHeading" xfId="10"/>
    <cellStyle name="Comma" xfId="1" builtinId="3"/>
    <cellStyle name="Comma  - Style1" xfId="12"/>
    <cellStyle name="Comma  - Style1 2" xfId="322"/>
    <cellStyle name="Comma  - Style1 2 2" xfId="323"/>
    <cellStyle name="Comma  - Style1 3" xfId="324"/>
    <cellStyle name="Comma  - Style2" xfId="13"/>
    <cellStyle name="Comma  - Style2 2" xfId="325"/>
    <cellStyle name="Comma  - Style2 2 2" xfId="326"/>
    <cellStyle name="Comma  - Style2 3" xfId="327"/>
    <cellStyle name="Comma  - Style3" xfId="14"/>
    <cellStyle name="Comma  - Style3 2" xfId="328"/>
    <cellStyle name="Comma  - Style3 2 2" xfId="329"/>
    <cellStyle name="Comma  - Style3 3" xfId="330"/>
    <cellStyle name="Comma  - Style4" xfId="15"/>
    <cellStyle name="Comma  - Style4 2" xfId="331"/>
    <cellStyle name="Comma  - Style4 2 2" xfId="332"/>
    <cellStyle name="Comma  - Style4 3" xfId="333"/>
    <cellStyle name="Comma  - Style5" xfId="16"/>
    <cellStyle name="Comma  - Style5 2" xfId="334"/>
    <cellStyle name="Comma  - Style5 2 2" xfId="335"/>
    <cellStyle name="Comma  - Style5 3" xfId="336"/>
    <cellStyle name="Comma  - Style6" xfId="17"/>
    <cellStyle name="Comma  - Style6 2" xfId="337"/>
    <cellStyle name="Comma  - Style6 2 2" xfId="338"/>
    <cellStyle name="Comma  - Style6 3" xfId="339"/>
    <cellStyle name="Comma  - Style7" xfId="18"/>
    <cellStyle name="Comma  - Style7 2" xfId="340"/>
    <cellStyle name="Comma  - Style7 2 2" xfId="341"/>
    <cellStyle name="Comma  - Style7 3" xfId="342"/>
    <cellStyle name="Comma  - Style8" xfId="19"/>
    <cellStyle name="Comma  - Style8 2" xfId="343"/>
    <cellStyle name="Comma  - Style8 2 2" xfId="344"/>
    <cellStyle name="Comma  - Style8 3" xfId="345"/>
    <cellStyle name="Comma (2)" xfId="346"/>
    <cellStyle name="Comma [0].brdr" xfId="347"/>
    <cellStyle name="Comma [0].brdr 2" xfId="348"/>
    <cellStyle name="Comma [00]" xfId="349"/>
    <cellStyle name="Comma [1]" xfId="350"/>
    <cellStyle name="Comma [2]" xfId="351"/>
    <cellStyle name="Comma 0" xfId="352"/>
    <cellStyle name="Comma 0.00" xfId="353"/>
    <cellStyle name="Comma 10" xfId="109"/>
    <cellStyle name="Comma 10 10" xfId="354"/>
    <cellStyle name="Comma 10 2" xfId="150"/>
    <cellStyle name="Comma 10 2 2" xfId="355"/>
    <cellStyle name="Comma 10 2 2 2" xfId="356"/>
    <cellStyle name="Comma 10 2 2 2 2" xfId="357"/>
    <cellStyle name="Comma 10 2 2 3" xfId="358"/>
    <cellStyle name="Comma 10 2 2 4" xfId="359"/>
    <cellStyle name="Comma 10 2 3" xfId="360"/>
    <cellStyle name="Comma 10 2 3 2" xfId="361"/>
    <cellStyle name="Comma 10 2 4" xfId="362"/>
    <cellStyle name="Comma 10 2 5" xfId="363"/>
    <cellStyle name="Comma 10 3" xfId="364"/>
    <cellStyle name="Comma 10 3 2" xfId="365"/>
    <cellStyle name="Comma 10 3 2 2" xfId="366"/>
    <cellStyle name="Comma 10 3 2 2 2" xfId="367"/>
    <cellStyle name="Comma 10 3 2 3" xfId="368"/>
    <cellStyle name="Comma 10 3 2 4" xfId="369"/>
    <cellStyle name="Comma 10 3 3" xfId="370"/>
    <cellStyle name="Comma 10 3 3 2" xfId="371"/>
    <cellStyle name="Comma 10 3 4" xfId="372"/>
    <cellStyle name="Comma 10 3 5" xfId="373"/>
    <cellStyle name="Comma 10 4" xfId="374"/>
    <cellStyle name="Comma 10 4 2" xfId="375"/>
    <cellStyle name="Comma 10 4 2 2" xfId="376"/>
    <cellStyle name="Comma 10 4 2 2 2" xfId="377"/>
    <cellStyle name="Comma 10 4 2 3" xfId="378"/>
    <cellStyle name="Comma 10 4 2 4" xfId="379"/>
    <cellStyle name="Comma 10 4 3" xfId="380"/>
    <cellStyle name="Comma 10 4 3 2" xfId="381"/>
    <cellStyle name="Comma 10 4 4" xfId="382"/>
    <cellStyle name="Comma 10 4 5" xfId="383"/>
    <cellStyle name="Comma 10 5" xfId="384"/>
    <cellStyle name="Comma 10 5 2" xfId="385"/>
    <cellStyle name="Comma 10 5 2 2" xfId="386"/>
    <cellStyle name="Comma 10 5 3" xfId="387"/>
    <cellStyle name="Comma 10 5 4" xfId="388"/>
    <cellStyle name="Comma 10 6" xfId="389"/>
    <cellStyle name="Comma 10 7" xfId="390"/>
    <cellStyle name="Comma 10 7 2" xfId="391"/>
    <cellStyle name="Comma 10 7 2 2" xfId="392"/>
    <cellStyle name="Comma 10 7 3" xfId="393"/>
    <cellStyle name="Comma 10 7 4" xfId="394"/>
    <cellStyle name="Comma 10 8" xfId="395"/>
    <cellStyle name="Comma 10 8 2" xfId="396"/>
    <cellStyle name="Comma 10 8 2 2" xfId="397"/>
    <cellStyle name="Comma 10 8 3" xfId="398"/>
    <cellStyle name="Comma 10 8 4" xfId="399"/>
    <cellStyle name="Comma 10 9" xfId="400"/>
    <cellStyle name="Comma 10 9 2" xfId="401"/>
    <cellStyle name="Comma 10 9 2 2" xfId="402"/>
    <cellStyle name="Comma 10 9 3" xfId="403"/>
    <cellStyle name="Comma 100" xfId="404"/>
    <cellStyle name="Comma 101" xfId="405"/>
    <cellStyle name="Comma 102" xfId="406"/>
    <cellStyle name="Comma 103" xfId="407"/>
    <cellStyle name="Comma 104" xfId="408"/>
    <cellStyle name="Comma 105" xfId="409"/>
    <cellStyle name="Comma 106" xfId="410"/>
    <cellStyle name="Comma 107" xfId="411"/>
    <cellStyle name="Comma 108" xfId="412"/>
    <cellStyle name="Comma 109" xfId="413"/>
    <cellStyle name="Comma 11" xfId="414"/>
    <cellStyle name="Comma 110" xfId="415"/>
    <cellStyle name="Comma 111" xfId="416"/>
    <cellStyle name="Comma 112" xfId="417"/>
    <cellStyle name="Comma 113" xfId="418"/>
    <cellStyle name="Comma 114" xfId="419"/>
    <cellStyle name="Comma 115" xfId="420"/>
    <cellStyle name="Comma 116" xfId="421"/>
    <cellStyle name="Comma 117" xfId="422"/>
    <cellStyle name="Comma 118" xfId="423"/>
    <cellStyle name="Comma 119" xfId="424"/>
    <cellStyle name="Comma 12" xfId="425"/>
    <cellStyle name="Comma 120" xfId="426"/>
    <cellStyle name="Comma 121" xfId="427"/>
    <cellStyle name="Comma 122" xfId="428"/>
    <cellStyle name="Comma 123" xfId="429"/>
    <cellStyle name="Comma 124" xfId="430"/>
    <cellStyle name="Comma 125" xfId="431"/>
    <cellStyle name="Comma 126" xfId="432"/>
    <cellStyle name="Comma 127" xfId="433"/>
    <cellStyle name="Comma 128" xfId="434"/>
    <cellStyle name="Comma 129" xfId="435"/>
    <cellStyle name="Comma 13" xfId="436"/>
    <cellStyle name="Comma 13 2" xfId="437"/>
    <cellStyle name="Comma 130" xfId="438"/>
    <cellStyle name="Comma 131" xfId="439"/>
    <cellStyle name="Comma 132" xfId="440"/>
    <cellStyle name="Comma 133" xfId="441"/>
    <cellStyle name="Comma 134" xfId="442"/>
    <cellStyle name="Comma 135" xfId="443"/>
    <cellStyle name="Comma 136" xfId="444"/>
    <cellStyle name="Comma 137" xfId="445"/>
    <cellStyle name="Comma 138" xfId="446"/>
    <cellStyle name="Comma 139" xfId="447"/>
    <cellStyle name="Comma 14" xfId="448"/>
    <cellStyle name="Comma 14 2" xfId="449"/>
    <cellStyle name="Comma 140" xfId="450"/>
    <cellStyle name="Comma 141" xfId="451"/>
    <cellStyle name="Comma 142" xfId="452"/>
    <cellStyle name="Comma 143" xfId="453"/>
    <cellStyle name="Comma 144" xfId="454"/>
    <cellStyle name="Comma 145" xfId="455"/>
    <cellStyle name="Comma 146" xfId="456"/>
    <cellStyle name="Comma 147" xfId="457"/>
    <cellStyle name="Comma 148" xfId="458"/>
    <cellStyle name="Comma 149" xfId="459"/>
    <cellStyle name="Comma 15" xfId="460"/>
    <cellStyle name="Comma 150" xfId="461"/>
    <cellStyle name="Comma 151" xfId="462"/>
    <cellStyle name="Comma 152" xfId="463"/>
    <cellStyle name="Comma 153" xfId="464"/>
    <cellStyle name="Comma 154" xfId="465"/>
    <cellStyle name="Comma 155" xfId="466"/>
    <cellStyle name="Comma 156" xfId="467"/>
    <cellStyle name="Comma 157" xfId="468"/>
    <cellStyle name="Comma 158" xfId="11"/>
    <cellStyle name="Comma 16" xfId="469"/>
    <cellStyle name="Comma 17" xfId="470"/>
    <cellStyle name="Comma 18" xfId="471"/>
    <cellStyle name="Comma 19" xfId="472"/>
    <cellStyle name="Comma 2" xfId="20"/>
    <cellStyle name="Comma 2 2" xfId="21"/>
    <cellStyle name="Comma 2 2 2" xfId="157"/>
    <cellStyle name="Comma 2 2 2 2" xfId="473"/>
    <cellStyle name="Comma 2 2 2 2 2" xfId="474"/>
    <cellStyle name="Comma 2 2 2 3" xfId="475"/>
    <cellStyle name="Comma 2 2 3" xfId="476"/>
    <cellStyle name="Comma 2 2 4" xfId="477"/>
    <cellStyle name="Comma 2 2 4 2" xfId="478"/>
    <cellStyle name="Comma 2 2 5" xfId="479"/>
    <cellStyle name="Comma 2 2 6" xfId="480"/>
    <cellStyle name="Comma 2 3" xfId="131"/>
    <cellStyle name="Comma 2 4" xfId="481"/>
    <cellStyle name="Comma 2 4 2" xfId="482"/>
    <cellStyle name="Comma 2 5" xfId="483"/>
    <cellStyle name="Comma 2 6" xfId="484"/>
    <cellStyle name="Comma 20" xfId="485"/>
    <cellStyle name="Comma 21" xfId="486"/>
    <cellStyle name="Comma 22" xfId="487"/>
    <cellStyle name="Comma 23" xfId="488"/>
    <cellStyle name="Comma 24" xfId="489"/>
    <cellStyle name="Comma 25" xfId="490"/>
    <cellStyle name="Comma 26" xfId="491"/>
    <cellStyle name="Comma 27" xfId="492"/>
    <cellStyle name="Comma 28" xfId="493"/>
    <cellStyle name="Comma 29" xfId="494"/>
    <cellStyle name="Comma 3" xfId="5"/>
    <cellStyle name="Comma 3 2" xfId="22"/>
    <cellStyle name="Comma 3 2 2" xfId="495"/>
    <cellStyle name="Comma 3 2 3" xfId="496"/>
    <cellStyle name="Comma 3 2 3 2" xfId="497"/>
    <cellStyle name="Comma 3 2 4" xfId="498"/>
    <cellStyle name="Comma 3 3" xfId="499"/>
    <cellStyle name="Comma 3 4" xfId="500"/>
    <cellStyle name="Comma 3 5" xfId="501"/>
    <cellStyle name="Comma 3 6" xfId="502"/>
    <cellStyle name="Comma 3 6 2" xfId="503"/>
    <cellStyle name="Comma 3 7" xfId="504"/>
    <cellStyle name="Comma 30" xfId="505"/>
    <cellStyle name="Comma 31" xfId="506"/>
    <cellStyle name="Comma 32" xfId="507"/>
    <cellStyle name="Comma 33" xfId="508"/>
    <cellStyle name="Comma 34" xfId="509"/>
    <cellStyle name="Comma 35" xfId="510"/>
    <cellStyle name="Comma 36" xfId="511"/>
    <cellStyle name="Comma 37" xfId="512"/>
    <cellStyle name="Comma 38" xfId="513"/>
    <cellStyle name="Comma 39" xfId="514"/>
    <cellStyle name="Comma 4" xfId="23"/>
    <cellStyle name="Comma 4 2" xfId="515"/>
    <cellStyle name="Comma 4 2 2" xfId="516"/>
    <cellStyle name="Comma 4 2 2 2" xfId="517"/>
    <cellStyle name="Comma 4 2 3" xfId="518"/>
    <cellStyle name="Comma 4 2 4" xfId="519"/>
    <cellStyle name="Comma 4 3" xfId="520"/>
    <cellStyle name="Comma 4 4" xfId="521"/>
    <cellStyle name="Comma 4 4 2" xfId="522"/>
    <cellStyle name="Comma 4 5" xfId="523"/>
    <cellStyle name="Comma 4 6" xfId="524"/>
    <cellStyle name="Comma 40" xfId="525"/>
    <cellStyle name="Comma 41" xfId="526"/>
    <cellStyle name="Comma 42" xfId="527"/>
    <cellStyle name="Comma 43" xfId="528"/>
    <cellStyle name="Comma 44" xfId="529"/>
    <cellStyle name="Comma 45" xfId="530"/>
    <cellStyle name="Comma 46" xfId="531"/>
    <cellStyle name="Comma 47" xfId="532"/>
    <cellStyle name="Comma 48" xfId="533"/>
    <cellStyle name="Comma 49" xfId="534"/>
    <cellStyle name="Comma 5" xfId="24"/>
    <cellStyle name="Comma 5 10" xfId="535"/>
    <cellStyle name="Comma 5 10 2" xfId="536"/>
    <cellStyle name="Comma 5 11" xfId="537"/>
    <cellStyle name="Comma 5 12" xfId="538"/>
    <cellStyle name="Comma 5 2" xfId="111"/>
    <cellStyle name="Comma 5 2 10" xfId="539"/>
    <cellStyle name="Comma 5 2 2" xfId="152"/>
    <cellStyle name="Comma 5 2 2 2" xfId="540"/>
    <cellStyle name="Comma 5 2 2 2 2" xfId="541"/>
    <cellStyle name="Comma 5 2 2 2 2 2" xfId="542"/>
    <cellStyle name="Comma 5 2 2 2 3" xfId="543"/>
    <cellStyle name="Comma 5 2 2 2 4" xfId="544"/>
    <cellStyle name="Comma 5 2 2 3" xfId="545"/>
    <cellStyle name="Comma 5 2 2 3 2" xfId="546"/>
    <cellStyle name="Comma 5 2 2 4" xfId="547"/>
    <cellStyle name="Comma 5 2 2 5" xfId="548"/>
    <cellStyle name="Comma 5 2 3" xfId="549"/>
    <cellStyle name="Comma 5 2 3 2" xfId="550"/>
    <cellStyle name="Comma 5 2 3 2 2" xfId="551"/>
    <cellStyle name="Comma 5 2 3 2 2 2" xfId="552"/>
    <cellStyle name="Comma 5 2 3 2 3" xfId="553"/>
    <cellStyle name="Comma 5 2 3 2 4" xfId="554"/>
    <cellStyle name="Comma 5 2 3 3" xfId="555"/>
    <cellStyle name="Comma 5 2 3 3 2" xfId="556"/>
    <cellStyle name="Comma 5 2 3 4" xfId="557"/>
    <cellStyle name="Comma 5 2 3 5" xfId="558"/>
    <cellStyle name="Comma 5 2 4" xfId="559"/>
    <cellStyle name="Comma 5 2 4 2" xfId="560"/>
    <cellStyle name="Comma 5 2 4 2 2" xfId="561"/>
    <cellStyle name="Comma 5 2 4 2 2 2" xfId="562"/>
    <cellStyle name="Comma 5 2 4 2 3" xfId="563"/>
    <cellStyle name="Comma 5 2 4 2 4" xfId="564"/>
    <cellStyle name="Comma 5 2 4 3" xfId="565"/>
    <cellStyle name="Comma 5 2 4 3 2" xfId="566"/>
    <cellStyle name="Comma 5 2 4 4" xfId="567"/>
    <cellStyle name="Comma 5 2 4 5" xfId="568"/>
    <cellStyle name="Comma 5 2 5" xfId="569"/>
    <cellStyle name="Comma 5 2 5 2" xfId="570"/>
    <cellStyle name="Comma 5 2 5 2 2" xfId="571"/>
    <cellStyle name="Comma 5 2 5 3" xfId="572"/>
    <cellStyle name="Comma 5 2 5 4" xfId="573"/>
    <cellStyle name="Comma 5 2 6" xfId="574"/>
    <cellStyle name="Comma 5 2 6 2" xfId="575"/>
    <cellStyle name="Comma 5 2 6 2 2" xfId="576"/>
    <cellStyle name="Comma 5 2 6 3" xfId="577"/>
    <cellStyle name="Comma 5 2 6 4" xfId="578"/>
    <cellStyle name="Comma 5 2 7" xfId="579"/>
    <cellStyle name="Comma 5 2 7 2" xfId="580"/>
    <cellStyle name="Comma 5 2 7 2 2" xfId="581"/>
    <cellStyle name="Comma 5 2 7 3" xfId="582"/>
    <cellStyle name="Comma 5 2 7 4" xfId="583"/>
    <cellStyle name="Comma 5 2 8" xfId="584"/>
    <cellStyle name="Comma 5 2 8 2" xfId="585"/>
    <cellStyle name="Comma 5 2 9" xfId="586"/>
    <cellStyle name="Comma 5 3" xfId="132"/>
    <cellStyle name="Comma 5 3 2" xfId="587"/>
    <cellStyle name="Comma 5 3 2 2" xfId="588"/>
    <cellStyle name="Comma 5 3 2 2 2" xfId="589"/>
    <cellStyle name="Comma 5 3 2 3" xfId="590"/>
    <cellStyle name="Comma 5 3 2 4" xfId="591"/>
    <cellStyle name="Comma 5 3 3" xfId="592"/>
    <cellStyle name="Comma 5 3 3 2" xfId="593"/>
    <cellStyle name="Comma 5 3 4" xfId="594"/>
    <cellStyle name="Comma 5 3 5" xfId="595"/>
    <cellStyle name="Comma 5 4" xfId="596"/>
    <cellStyle name="Comma 5 4 2" xfId="597"/>
    <cellStyle name="Comma 5 4 2 2" xfId="598"/>
    <cellStyle name="Comma 5 4 2 2 2" xfId="599"/>
    <cellStyle name="Comma 5 4 2 3" xfId="600"/>
    <cellStyle name="Comma 5 4 2 4" xfId="601"/>
    <cellStyle name="Comma 5 4 3" xfId="602"/>
    <cellStyle name="Comma 5 4 3 2" xfId="603"/>
    <cellStyle name="Comma 5 4 4" xfId="604"/>
    <cellStyle name="Comma 5 4 5" xfId="605"/>
    <cellStyle name="Comma 5 5" xfId="606"/>
    <cellStyle name="Comma 5 5 2" xfId="607"/>
    <cellStyle name="Comma 5 5 2 2" xfId="608"/>
    <cellStyle name="Comma 5 5 2 2 2" xfId="609"/>
    <cellStyle name="Comma 5 5 2 3" xfId="610"/>
    <cellStyle name="Comma 5 5 2 4" xfId="611"/>
    <cellStyle name="Comma 5 5 3" xfId="612"/>
    <cellStyle name="Comma 5 5 3 2" xfId="613"/>
    <cellStyle name="Comma 5 5 4" xfId="614"/>
    <cellStyle name="Comma 5 5 5" xfId="615"/>
    <cellStyle name="Comma 5 6" xfId="616"/>
    <cellStyle name="Comma 5 6 2" xfId="617"/>
    <cellStyle name="Comma 5 6 2 2" xfId="618"/>
    <cellStyle name="Comma 5 6 3" xfId="619"/>
    <cellStyle name="Comma 5 6 4" xfId="620"/>
    <cellStyle name="Comma 5 7" xfId="621"/>
    <cellStyle name="Comma 5 8" xfId="622"/>
    <cellStyle name="Comma 5 8 2" xfId="623"/>
    <cellStyle name="Comma 5 8 2 2" xfId="624"/>
    <cellStyle name="Comma 5 8 3" xfId="625"/>
    <cellStyle name="Comma 5 8 4" xfId="626"/>
    <cellStyle name="Comma 5 9" xfId="627"/>
    <cellStyle name="Comma 5 9 2" xfId="628"/>
    <cellStyle name="Comma 5 9 2 2" xfId="629"/>
    <cellStyle name="Comma 5 9 3" xfId="630"/>
    <cellStyle name="Comma 5 9 4" xfId="631"/>
    <cellStyle name="Comma 50" xfId="632"/>
    <cellStyle name="Comma 51" xfId="633"/>
    <cellStyle name="Comma 52" xfId="634"/>
    <cellStyle name="Comma 53" xfId="635"/>
    <cellStyle name="Comma 54" xfId="636"/>
    <cellStyle name="Comma 55" xfId="637"/>
    <cellStyle name="Comma 56" xfId="638"/>
    <cellStyle name="Comma 57" xfId="639"/>
    <cellStyle name="Comma 58" xfId="640"/>
    <cellStyle name="Comma 59" xfId="641"/>
    <cellStyle name="Comma 6" xfId="96"/>
    <cellStyle name="Comma 6 10" xfId="642"/>
    <cellStyle name="Comma 6 2" xfId="141"/>
    <cellStyle name="Comma 6 2 2" xfId="643"/>
    <cellStyle name="Comma 6 2 2 2" xfId="644"/>
    <cellStyle name="Comma 6 2 2 2 2" xfId="645"/>
    <cellStyle name="Comma 6 2 2 3" xfId="646"/>
    <cellStyle name="Comma 6 2 2 4" xfId="647"/>
    <cellStyle name="Comma 6 2 3" xfId="648"/>
    <cellStyle name="Comma 6 2 3 2" xfId="649"/>
    <cellStyle name="Comma 6 2 4" xfId="650"/>
    <cellStyle name="Comma 6 2 5" xfId="651"/>
    <cellStyle name="Comma 6 3" xfId="652"/>
    <cellStyle name="Comma 6 3 2" xfId="653"/>
    <cellStyle name="Comma 6 3 2 2" xfId="654"/>
    <cellStyle name="Comma 6 3 2 2 2" xfId="655"/>
    <cellStyle name="Comma 6 3 2 3" xfId="656"/>
    <cellStyle name="Comma 6 3 2 4" xfId="657"/>
    <cellStyle name="Comma 6 3 3" xfId="658"/>
    <cellStyle name="Comma 6 3 3 2" xfId="659"/>
    <cellStyle name="Comma 6 3 4" xfId="660"/>
    <cellStyle name="Comma 6 3 5" xfId="661"/>
    <cellStyle name="Comma 6 4" xfId="662"/>
    <cellStyle name="Comma 6 4 2" xfId="663"/>
    <cellStyle name="Comma 6 4 2 2" xfId="664"/>
    <cellStyle name="Comma 6 4 2 2 2" xfId="665"/>
    <cellStyle name="Comma 6 4 2 3" xfId="666"/>
    <cellStyle name="Comma 6 4 2 4" xfId="667"/>
    <cellStyle name="Comma 6 4 3" xfId="668"/>
    <cellStyle name="Comma 6 4 3 2" xfId="669"/>
    <cellStyle name="Comma 6 4 4" xfId="670"/>
    <cellStyle name="Comma 6 4 5" xfId="671"/>
    <cellStyle name="Comma 6 5" xfId="672"/>
    <cellStyle name="Comma 6 5 2" xfId="673"/>
    <cellStyle name="Comma 6 5 2 2" xfId="674"/>
    <cellStyle name="Comma 6 5 3" xfId="675"/>
    <cellStyle name="Comma 6 5 4" xfId="676"/>
    <cellStyle name="Comma 6 6" xfId="677"/>
    <cellStyle name="Comma 6 7" xfId="678"/>
    <cellStyle name="Comma 6 7 2" xfId="679"/>
    <cellStyle name="Comma 6 7 2 2" xfId="680"/>
    <cellStyle name="Comma 6 7 3" xfId="681"/>
    <cellStyle name="Comma 6 7 4" xfId="682"/>
    <cellStyle name="Comma 6 8" xfId="683"/>
    <cellStyle name="Comma 6 8 2" xfId="684"/>
    <cellStyle name="Comma 6 8 2 2" xfId="685"/>
    <cellStyle name="Comma 6 8 3" xfId="686"/>
    <cellStyle name="Comma 6 8 4" xfId="687"/>
    <cellStyle name="Comma 6 9" xfId="688"/>
    <cellStyle name="Comma 6 9 2" xfId="689"/>
    <cellStyle name="Comma 6 9 2 2" xfId="690"/>
    <cellStyle name="Comma 6 9 3" xfId="691"/>
    <cellStyle name="Comma 60" xfId="692"/>
    <cellStyle name="Comma 61" xfId="693"/>
    <cellStyle name="Comma 62" xfId="694"/>
    <cellStyle name="Comma 63" xfId="695"/>
    <cellStyle name="Comma 64" xfId="696"/>
    <cellStyle name="Comma 65" xfId="697"/>
    <cellStyle name="Comma 66" xfId="698"/>
    <cellStyle name="Comma 67" xfId="699"/>
    <cellStyle name="Comma 68" xfId="700"/>
    <cellStyle name="Comma 69" xfId="701"/>
    <cellStyle name="Comma 7" xfId="101"/>
    <cellStyle name="Comma 70" xfId="702"/>
    <cellStyle name="Comma 71" xfId="703"/>
    <cellStyle name="Comma 72" xfId="704"/>
    <cellStyle name="Comma 73" xfId="705"/>
    <cellStyle name="Comma 74" xfId="706"/>
    <cellStyle name="Comma 74 2" xfId="707"/>
    <cellStyle name="Comma 75" xfId="708"/>
    <cellStyle name="Comma 75 2" xfId="709"/>
    <cellStyle name="Comma 76" xfId="710"/>
    <cellStyle name="Comma 76 2" xfId="711"/>
    <cellStyle name="Comma 77" xfId="712"/>
    <cellStyle name="Comma 77 2" xfId="713"/>
    <cellStyle name="Comma 78" xfId="714"/>
    <cellStyle name="Comma 79" xfId="715"/>
    <cellStyle name="Comma 79 2" xfId="716"/>
    <cellStyle name="Comma 8" xfId="104"/>
    <cellStyle name="Comma 8 10" xfId="717"/>
    <cellStyle name="Comma 8 2" xfId="145"/>
    <cellStyle name="Comma 8 2 2" xfId="718"/>
    <cellStyle name="Comma 8 2 2 2" xfId="719"/>
    <cellStyle name="Comma 8 2 2 2 2" xfId="720"/>
    <cellStyle name="Comma 8 2 2 3" xfId="721"/>
    <cellStyle name="Comma 8 2 2 4" xfId="722"/>
    <cellStyle name="Comma 8 2 3" xfId="723"/>
    <cellStyle name="Comma 8 2 3 2" xfId="724"/>
    <cellStyle name="Comma 8 2 4" xfId="725"/>
    <cellStyle name="Comma 8 2 5" xfId="726"/>
    <cellStyle name="Comma 8 3" xfId="727"/>
    <cellStyle name="Comma 8 3 2" xfId="728"/>
    <cellStyle name="Comma 8 3 2 2" xfId="729"/>
    <cellStyle name="Comma 8 3 2 2 2" xfId="730"/>
    <cellStyle name="Comma 8 3 2 3" xfId="731"/>
    <cellStyle name="Comma 8 3 2 4" xfId="732"/>
    <cellStyle name="Comma 8 3 3" xfId="733"/>
    <cellStyle name="Comma 8 3 3 2" xfId="734"/>
    <cellStyle name="Comma 8 3 4" xfId="735"/>
    <cellStyle name="Comma 8 3 5" xfId="736"/>
    <cellStyle name="Comma 8 4" xfId="737"/>
    <cellStyle name="Comma 8 4 2" xfId="738"/>
    <cellStyle name="Comma 8 4 2 2" xfId="739"/>
    <cellStyle name="Comma 8 4 2 2 2" xfId="740"/>
    <cellStyle name="Comma 8 4 2 3" xfId="741"/>
    <cellStyle name="Comma 8 4 2 4" xfId="742"/>
    <cellStyle name="Comma 8 4 3" xfId="743"/>
    <cellStyle name="Comma 8 4 3 2" xfId="744"/>
    <cellStyle name="Comma 8 4 4" xfId="745"/>
    <cellStyle name="Comma 8 4 5" xfId="746"/>
    <cellStyle name="Comma 8 5" xfId="747"/>
    <cellStyle name="Comma 8 5 2" xfId="748"/>
    <cellStyle name="Comma 8 5 2 2" xfId="749"/>
    <cellStyle name="Comma 8 5 3" xfId="750"/>
    <cellStyle name="Comma 8 5 4" xfId="751"/>
    <cellStyle name="Comma 8 6" xfId="752"/>
    <cellStyle name="Comma 8 7" xfId="753"/>
    <cellStyle name="Comma 8 7 2" xfId="754"/>
    <cellStyle name="Comma 8 7 2 2" xfId="755"/>
    <cellStyle name="Comma 8 7 3" xfId="756"/>
    <cellStyle name="Comma 8 7 4" xfId="757"/>
    <cellStyle name="Comma 8 8" xfId="758"/>
    <cellStyle name="Comma 8 8 2" xfId="759"/>
    <cellStyle name="Comma 8 8 2 2" xfId="760"/>
    <cellStyle name="Comma 8 8 3" xfId="761"/>
    <cellStyle name="Comma 8 8 4" xfId="762"/>
    <cellStyle name="Comma 8 9" xfId="763"/>
    <cellStyle name="Comma 8 9 2" xfId="764"/>
    <cellStyle name="Comma 8 9 2 2" xfId="765"/>
    <cellStyle name="Comma 8 9 3" xfId="766"/>
    <cellStyle name="Comma 80" xfId="767"/>
    <cellStyle name="Comma 80 2" xfId="768"/>
    <cellStyle name="Comma 81" xfId="769"/>
    <cellStyle name="Comma 82" xfId="770"/>
    <cellStyle name="Comma 83" xfId="771"/>
    <cellStyle name="Comma 84" xfId="772"/>
    <cellStyle name="Comma 85" xfId="773"/>
    <cellStyle name="Comma 86" xfId="774"/>
    <cellStyle name="Comma 87" xfId="775"/>
    <cellStyle name="Comma 88" xfId="776"/>
    <cellStyle name="Comma 89" xfId="777"/>
    <cellStyle name="Comma 9" xfId="105"/>
    <cellStyle name="Comma 9 10" xfId="778"/>
    <cellStyle name="Comma 9 2" xfId="146"/>
    <cellStyle name="Comma 9 2 2" xfId="779"/>
    <cellStyle name="Comma 9 2 2 2" xfId="780"/>
    <cellStyle name="Comma 9 2 2 2 2" xfId="781"/>
    <cellStyle name="Comma 9 2 2 3" xfId="782"/>
    <cellStyle name="Comma 9 2 2 4" xfId="783"/>
    <cellStyle name="Comma 9 2 3" xfId="784"/>
    <cellStyle name="Comma 9 2 3 2" xfId="785"/>
    <cellStyle name="Comma 9 2 4" xfId="786"/>
    <cellStyle name="Comma 9 2 5" xfId="787"/>
    <cellStyle name="Comma 9 3" xfId="788"/>
    <cellStyle name="Comma 9 3 2" xfId="789"/>
    <cellStyle name="Comma 9 3 2 2" xfId="790"/>
    <cellStyle name="Comma 9 3 2 2 2" xfId="791"/>
    <cellStyle name="Comma 9 3 2 3" xfId="792"/>
    <cellStyle name="Comma 9 3 2 4" xfId="793"/>
    <cellStyle name="Comma 9 3 3" xfId="794"/>
    <cellStyle name="Comma 9 3 3 2" xfId="795"/>
    <cellStyle name="Comma 9 3 4" xfId="796"/>
    <cellStyle name="Comma 9 3 5" xfId="797"/>
    <cellStyle name="Comma 9 4" xfId="798"/>
    <cellStyle name="Comma 9 4 2" xfId="799"/>
    <cellStyle name="Comma 9 4 2 2" xfId="800"/>
    <cellStyle name="Comma 9 4 2 2 2" xfId="801"/>
    <cellStyle name="Comma 9 4 2 3" xfId="802"/>
    <cellStyle name="Comma 9 4 2 4" xfId="803"/>
    <cellStyle name="Comma 9 4 3" xfId="804"/>
    <cellStyle name="Comma 9 4 3 2" xfId="805"/>
    <cellStyle name="Comma 9 4 4" xfId="806"/>
    <cellStyle name="Comma 9 4 5" xfId="807"/>
    <cellStyle name="Comma 9 5" xfId="808"/>
    <cellStyle name="Comma 9 5 2" xfId="809"/>
    <cellStyle name="Comma 9 5 2 2" xfId="810"/>
    <cellStyle name="Comma 9 5 3" xfId="811"/>
    <cellStyle name="Comma 9 5 4" xfId="812"/>
    <cellStyle name="Comma 9 6" xfId="813"/>
    <cellStyle name="Comma 9 7" xfId="814"/>
    <cellStyle name="Comma 9 7 2" xfId="815"/>
    <cellStyle name="Comma 9 7 2 2" xfId="816"/>
    <cellStyle name="Comma 9 7 3" xfId="817"/>
    <cellStyle name="Comma 9 7 4" xfId="818"/>
    <cellStyle name="Comma 9 8" xfId="819"/>
    <cellStyle name="Comma 9 8 2" xfId="820"/>
    <cellStyle name="Comma 9 8 2 2" xfId="821"/>
    <cellStyle name="Comma 9 8 3" xfId="822"/>
    <cellStyle name="Comma 9 8 4" xfId="823"/>
    <cellStyle name="Comma 9 9" xfId="824"/>
    <cellStyle name="Comma 9 9 2" xfId="825"/>
    <cellStyle name="Comma 9 9 2 2" xfId="826"/>
    <cellStyle name="Comma 9 9 3" xfId="827"/>
    <cellStyle name="Comma 90" xfId="828"/>
    <cellStyle name="Comma 91" xfId="829"/>
    <cellStyle name="Comma 92" xfId="830"/>
    <cellStyle name="Comma 93" xfId="831"/>
    <cellStyle name="Comma 94" xfId="832"/>
    <cellStyle name="Comma 95" xfId="833"/>
    <cellStyle name="Comma 96" xfId="834"/>
    <cellStyle name="Comma 97" xfId="835"/>
    <cellStyle name="Comma 98" xfId="836"/>
    <cellStyle name="Comma 99" xfId="837"/>
    <cellStyle name="comma zerodec" xfId="838"/>
    <cellStyle name="Comma0" xfId="839"/>
    <cellStyle name="Currency" xfId="2" builtinId="4"/>
    <cellStyle name="Currency (2)" xfId="840"/>
    <cellStyle name="Currency [00]" xfId="841"/>
    <cellStyle name="Currency [1]" xfId="842"/>
    <cellStyle name="Currency [2]" xfId="843"/>
    <cellStyle name="Currency 0" xfId="844"/>
    <cellStyle name="Currency 0.00" xfId="845"/>
    <cellStyle name="Currency 10" xfId="846"/>
    <cellStyle name="Currency 100" xfId="847"/>
    <cellStyle name="Currency 101" xfId="848"/>
    <cellStyle name="Currency 102" xfId="849"/>
    <cellStyle name="Currency 103" xfId="850"/>
    <cellStyle name="Currency 104" xfId="851"/>
    <cellStyle name="Currency 105" xfId="852"/>
    <cellStyle name="Currency 106" xfId="853"/>
    <cellStyle name="Currency 107" xfId="854"/>
    <cellStyle name="Currency 108" xfId="855"/>
    <cellStyle name="Currency 109" xfId="856"/>
    <cellStyle name="Currency 11" xfId="857"/>
    <cellStyle name="Currency 110" xfId="858"/>
    <cellStyle name="Currency 111" xfId="859"/>
    <cellStyle name="Currency 112" xfId="860"/>
    <cellStyle name="Currency 113" xfId="861"/>
    <cellStyle name="Currency 114" xfId="862"/>
    <cellStyle name="Currency 115" xfId="863"/>
    <cellStyle name="Currency 116" xfId="864"/>
    <cellStyle name="Currency 117" xfId="865"/>
    <cellStyle name="Currency 118" xfId="866"/>
    <cellStyle name="Currency 119" xfId="867"/>
    <cellStyle name="Currency 12" xfId="868"/>
    <cellStyle name="Currency 120" xfId="869"/>
    <cellStyle name="Currency 121" xfId="870"/>
    <cellStyle name="Currency 122" xfId="871"/>
    <cellStyle name="Currency 123" xfId="872"/>
    <cellStyle name="Currency 124" xfId="873"/>
    <cellStyle name="Currency 125" xfId="874"/>
    <cellStyle name="Currency 126" xfId="875"/>
    <cellStyle name="Currency 127" xfId="876"/>
    <cellStyle name="Currency 128" xfId="877"/>
    <cellStyle name="Currency 129" xfId="878"/>
    <cellStyle name="Currency 13" xfId="879"/>
    <cellStyle name="Currency 130" xfId="880"/>
    <cellStyle name="Currency 131" xfId="881"/>
    <cellStyle name="Currency 132" xfId="882"/>
    <cellStyle name="Currency 133" xfId="883"/>
    <cellStyle name="Currency 134" xfId="884"/>
    <cellStyle name="Currency 135" xfId="885"/>
    <cellStyle name="Currency 136" xfId="886"/>
    <cellStyle name="Currency 137" xfId="887"/>
    <cellStyle name="Currency 138" xfId="888"/>
    <cellStyle name="Currency 139" xfId="889"/>
    <cellStyle name="Currency 14" xfId="890"/>
    <cellStyle name="Currency 140" xfId="891"/>
    <cellStyle name="Currency 141" xfId="892"/>
    <cellStyle name="Currency 142" xfId="893"/>
    <cellStyle name="Currency 143" xfId="894"/>
    <cellStyle name="Currency 144" xfId="895"/>
    <cellStyle name="Currency 145" xfId="896"/>
    <cellStyle name="Currency 146" xfId="897"/>
    <cellStyle name="Currency 147" xfId="898"/>
    <cellStyle name="Currency 148" xfId="899"/>
    <cellStyle name="Currency 149" xfId="900"/>
    <cellStyle name="Currency 15" xfId="901"/>
    <cellStyle name="Currency 150" xfId="902"/>
    <cellStyle name="Currency 151" xfId="903"/>
    <cellStyle name="Currency 152" xfId="904"/>
    <cellStyle name="Currency 153" xfId="905"/>
    <cellStyle name="Currency 154" xfId="906"/>
    <cellStyle name="Currency 155" xfId="907"/>
    <cellStyle name="Currency 156" xfId="908"/>
    <cellStyle name="Currency 157" xfId="909"/>
    <cellStyle name="Currency 158" xfId="910"/>
    <cellStyle name="Currency 159" xfId="911"/>
    <cellStyle name="Currency 16" xfId="912"/>
    <cellStyle name="Currency 160" xfId="913"/>
    <cellStyle name="Currency 161" xfId="914"/>
    <cellStyle name="Currency 162" xfId="915"/>
    <cellStyle name="Currency 163" xfId="916"/>
    <cellStyle name="Currency 164" xfId="917"/>
    <cellStyle name="Currency 165" xfId="918"/>
    <cellStyle name="Currency 166" xfId="919"/>
    <cellStyle name="Currency 167" xfId="920"/>
    <cellStyle name="Currency 168" xfId="921"/>
    <cellStyle name="Currency 169" xfId="922"/>
    <cellStyle name="Currency 17" xfId="923"/>
    <cellStyle name="Currency 170" xfId="924"/>
    <cellStyle name="Currency 171" xfId="925"/>
    <cellStyle name="Currency 172" xfId="926"/>
    <cellStyle name="Currency 173" xfId="927"/>
    <cellStyle name="Currency 174" xfId="928"/>
    <cellStyle name="Currency 175" xfId="929"/>
    <cellStyle name="Currency 176" xfId="930"/>
    <cellStyle name="Currency 177" xfId="97"/>
    <cellStyle name="Currency 18" xfId="931"/>
    <cellStyle name="Currency 19" xfId="932"/>
    <cellStyle name="Currency 2" xfId="7"/>
    <cellStyle name="Currency 2 2" xfId="25"/>
    <cellStyle name="Currency 2 2 2" xfId="933"/>
    <cellStyle name="Currency 2 3" xfId="934"/>
    <cellStyle name="Currency 2 3 2" xfId="935"/>
    <cellStyle name="Currency 2 4" xfId="936"/>
    <cellStyle name="Currency 20" xfId="937"/>
    <cellStyle name="Currency 21" xfId="938"/>
    <cellStyle name="Currency 22" xfId="939"/>
    <cellStyle name="Currency 23" xfId="940"/>
    <cellStyle name="Currency 24" xfId="941"/>
    <cellStyle name="Currency 25" xfId="942"/>
    <cellStyle name="Currency 26" xfId="943"/>
    <cellStyle name="Currency 27" xfId="944"/>
    <cellStyle name="Currency 28" xfId="945"/>
    <cellStyle name="Currency 29" xfId="946"/>
    <cellStyle name="Currency 3" xfId="26"/>
    <cellStyle name="Currency 3 2" xfId="27"/>
    <cellStyle name="Currency 3 2 2" xfId="947"/>
    <cellStyle name="Currency 3 2 3" xfId="948"/>
    <cellStyle name="Currency 3 2 4" xfId="949"/>
    <cellStyle name="Currency 3 3" xfId="950"/>
    <cellStyle name="Currency 3 3 2" xfId="951"/>
    <cellStyle name="Currency 3 4" xfId="952"/>
    <cellStyle name="Currency 3 5" xfId="953"/>
    <cellStyle name="Currency 3 6" xfId="954"/>
    <cellStyle name="Currency 30" xfId="955"/>
    <cellStyle name="Currency 31" xfId="956"/>
    <cellStyle name="Currency 32" xfId="957"/>
    <cellStyle name="Currency 33" xfId="958"/>
    <cellStyle name="Currency 34" xfId="959"/>
    <cellStyle name="Currency 35" xfId="960"/>
    <cellStyle name="Currency 36" xfId="961"/>
    <cellStyle name="Currency 37" xfId="962"/>
    <cellStyle name="Currency 38" xfId="963"/>
    <cellStyle name="Currency 39" xfId="964"/>
    <cellStyle name="Currency 4" xfId="100"/>
    <cellStyle name="Currency 4 2" xfId="965"/>
    <cellStyle name="Currency 4 3" xfId="966"/>
    <cellStyle name="Currency 4 4" xfId="967"/>
    <cellStyle name="Currency 4 5" xfId="968"/>
    <cellStyle name="Currency 40" xfId="969"/>
    <cellStyle name="Currency 41" xfId="970"/>
    <cellStyle name="Currency 42" xfId="971"/>
    <cellStyle name="Currency 43" xfId="972"/>
    <cellStyle name="Currency 44" xfId="973"/>
    <cellStyle name="Currency 45" xfId="974"/>
    <cellStyle name="Currency 46" xfId="975"/>
    <cellStyle name="Currency 47" xfId="976"/>
    <cellStyle name="Currency 48" xfId="977"/>
    <cellStyle name="Currency 49" xfId="978"/>
    <cellStyle name="Currency 5" xfId="979"/>
    <cellStyle name="Currency 5 2" xfId="980"/>
    <cellStyle name="Currency 5 2 2" xfId="981"/>
    <cellStyle name="Currency 5 2 2 2" xfId="982"/>
    <cellStyle name="Currency 5 2 3" xfId="983"/>
    <cellStyle name="Currency 5 2 4" xfId="984"/>
    <cellStyle name="Currency 5 3" xfId="985"/>
    <cellStyle name="Currency 5 4" xfId="986"/>
    <cellStyle name="Currency 5 4 2" xfId="987"/>
    <cellStyle name="Currency 5 4 2 2" xfId="988"/>
    <cellStyle name="Currency 5 4 3" xfId="989"/>
    <cellStyle name="Currency 5 5" xfId="990"/>
    <cellStyle name="Currency 50" xfId="991"/>
    <cellStyle name="Currency 51" xfId="992"/>
    <cellStyle name="Currency 52" xfId="993"/>
    <cellStyle name="Currency 53" xfId="994"/>
    <cellStyle name="Currency 54" xfId="995"/>
    <cellStyle name="Currency 55" xfId="996"/>
    <cellStyle name="Currency 56" xfId="997"/>
    <cellStyle name="Currency 57" xfId="998"/>
    <cellStyle name="Currency 58" xfId="999"/>
    <cellStyle name="Currency 59" xfId="1000"/>
    <cellStyle name="Currency 6" xfId="1001"/>
    <cellStyle name="Currency 60" xfId="1002"/>
    <cellStyle name="Currency 61" xfId="1003"/>
    <cellStyle name="Currency 62" xfId="1004"/>
    <cellStyle name="Currency 63" xfId="1005"/>
    <cellStyle name="Currency 64" xfId="1006"/>
    <cellStyle name="Currency 65" xfId="1007"/>
    <cellStyle name="Currency 66" xfId="1008"/>
    <cellStyle name="Currency 67" xfId="1009"/>
    <cellStyle name="Currency 68" xfId="1010"/>
    <cellStyle name="Currency 69" xfId="1011"/>
    <cellStyle name="Currency 7" xfId="1012"/>
    <cellStyle name="Currency 7 2" xfId="1013"/>
    <cellStyle name="Currency 70" xfId="1014"/>
    <cellStyle name="Currency 71" xfId="1015"/>
    <cellStyle name="Currency 72" xfId="1016"/>
    <cellStyle name="Currency 73" xfId="1017"/>
    <cellStyle name="Currency 74" xfId="1018"/>
    <cellStyle name="Currency 75" xfId="1019"/>
    <cellStyle name="Currency 76" xfId="1020"/>
    <cellStyle name="Currency 76 2" xfId="1021"/>
    <cellStyle name="Currency 77" xfId="1022"/>
    <cellStyle name="Currency 77 2" xfId="1023"/>
    <cellStyle name="Currency 77 3" xfId="1024"/>
    <cellStyle name="Currency 77 4" xfId="1025"/>
    <cellStyle name="Currency 78" xfId="1026"/>
    <cellStyle name="Currency 78 2" xfId="1027"/>
    <cellStyle name="Currency 79" xfId="1028"/>
    <cellStyle name="Currency 79 2" xfId="1029"/>
    <cellStyle name="Currency 8" xfId="1030"/>
    <cellStyle name="Currency 8 2" xfId="1031"/>
    <cellStyle name="Currency 80" xfId="1032"/>
    <cellStyle name="Currency 81" xfId="1033"/>
    <cellStyle name="Currency 81 2" xfId="1034"/>
    <cellStyle name="Currency 82" xfId="1035"/>
    <cellStyle name="Currency 82 2" xfId="1036"/>
    <cellStyle name="Currency 83" xfId="1037"/>
    <cellStyle name="Currency 84" xfId="1038"/>
    <cellStyle name="Currency 85" xfId="1039"/>
    <cellStyle name="Currency 86" xfId="1040"/>
    <cellStyle name="Currency 87" xfId="1041"/>
    <cellStyle name="Currency 88" xfId="1042"/>
    <cellStyle name="Currency 89" xfId="1043"/>
    <cellStyle name="Currency 9" xfId="1044"/>
    <cellStyle name="Currency 90" xfId="1045"/>
    <cellStyle name="Currency 91" xfId="1046"/>
    <cellStyle name="Currency 92" xfId="1047"/>
    <cellStyle name="Currency 93" xfId="1048"/>
    <cellStyle name="Currency 94" xfId="1049"/>
    <cellStyle name="Currency 95" xfId="1050"/>
    <cellStyle name="Currency 96" xfId="1051"/>
    <cellStyle name="Currency 97" xfId="1052"/>
    <cellStyle name="Currency 98" xfId="1053"/>
    <cellStyle name="Currency 99" xfId="1054"/>
    <cellStyle name="Currency.brdr" xfId="1055"/>
    <cellStyle name="Currency.brdr 2" xfId="1056"/>
    <cellStyle name="Currency0" xfId="1057"/>
    <cellStyle name="Currency1" xfId="1058"/>
    <cellStyle name="D" xfId="28"/>
    <cellStyle name="d 10" xfId="1059"/>
    <cellStyle name="D 11" xfId="1060"/>
    <cellStyle name="D 12" xfId="1061"/>
    <cellStyle name="D 13" xfId="1062"/>
    <cellStyle name="D 14" xfId="1063"/>
    <cellStyle name="D 15" xfId="1064"/>
    <cellStyle name="D 16" xfId="1065"/>
    <cellStyle name="D 17" xfId="1066"/>
    <cellStyle name="D 2" xfId="1067"/>
    <cellStyle name="d 3" xfId="1068"/>
    <cellStyle name="d 4" xfId="1069"/>
    <cellStyle name="d 5" xfId="1070"/>
    <cellStyle name="d 6" xfId="1071"/>
    <cellStyle name="d 7" xfId="1072"/>
    <cellStyle name="d 8" xfId="1073"/>
    <cellStyle name="d 9" xfId="1074"/>
    <cellStyle name="D.C.R." xfId="1075"/>
    <cellStyle name="Dash" xfId="1076"/>
    <cellStyle name="Date" xfId="1077"/>
    <cellStyle name="Date (m/d/yyyy)" xfId="115"/>
    <cellStyle name="Date (m/d/yyyy) 2" xfId="1078"/>
    <cellStyle name="Date (m/d/yyyy) 2 2" xfId="1079"/>
    <cellStyle name="Date (m/d/yyyy) 2 2 2" xfId="1080"/>
    <cellStyle name="Date (m/d/yyyy) 2 2 2 2" xfId="1081"/>
    <cellStyle name="Date (m/d/yyyy) 2 2 3" xfId="1082"/>
    <cellStyle name="Date (m/d/yyyy) 2 2 4" xfId="1083"/>
    <cellStyle name="Date (m/d/yyyy) 2 3" xfId="1084"/>
    <cellStyle name="Date (m/d/yyyy) 2 3 2" xfId="1085"/>
    <cellStyle name="Date (m/d/yyyy) 2 4" xfId="1086"/>
    <cellStyle name="Date (m/d/yyyy) 2 5" xfId="1087"/>
    <cellStyle name="Date (m/d/yyyy) 3" xfId="1088"/>
    <cellStyle name="Date (m/d/yyyy) 3 2" xfId="1089"/>
    <cellStyle name="Date (m/d/yyyy) 3 2 2" xfId="1090"/>
    <cellStyle name="Date (m/d/yyyy) 3 3" xfId="1091"/>
    <cellStyle name="Date (m/d/yyyy) 3 4" xfId="1092"/>
    <cellStyle name="Date (m/d/yyyy) 4" xfId="1093"/>
    <cellStyle name="Date (m/d/yyyy) 4 2" xfId="1094"/>
    <cellStyle name="Date (m/d/yyyy) 4 2 2" xfId="1095"/>
    <cellStyle name="Date (m/d/yyyy) 4 3" xfId="1096"/>
    <cellStyle name="Date (m/d/yyyy) 4 4" xfId="1097"/>
    <cellStyle name="Date (m/d/yyyy) 5" xfId="1098"/>
    <cellStyle name="Date (m/d/yyyy) 5 2" xfId="1099"/>
    <cellStyle name="Date (m/d/yyyy) 5 2 2" xfId="1100"/>
    <cellStyle name="Date (m/d/yyyy) 5 3" xfId="1101"/>
    <cellStyle name="Date (m/d/yyyy) 5 4" xfId="1102"/>
    <cellStyle name="Date (m/d/yyyy) 6" xfId="1103"/>
    <cellStyle name="Date (m/d/yyyy) 6 2" xfId="1104"/>
    <cellStyle name="Date (m/d/yyyy) 7" xfId="1105"/>
    <cellStyle name="Date (m/d/yyyy) 8" xfId="1106"/>
    <cellStyle name="Date (mmm-yyyy)" xfId="116"/>
    <cellStyle name="Date (mmm-yyyy) 2" xfId="1107"/>
    <cellStyle name="Date (mmm-yyyy) 2 2" xfId="1108"/>
    <cellStyle name="Date (mmm-yyyy) 2 2 2" xfId="1109"/>
    <cellStyle name="Date (mmm-yyyy) 2 2 2 2" xfId="1110"/>
    <cellStyle name="Date (mmm-yyyy) 2 2 3" xfId="1111"/>
    <cellStyle name="Date (mmm-yyyy) 2 2 4" xfId="1112"/>
    <cellStyle name="Date (mmm-yyyy) 2 3" xfId="1113"/>
    <cellStyle name="Date (mmm-yyyy) 2 3 2" xfId="1114"/>
    <cellStyle name="Date (mmm-yyyy) 2 4" xfId="1115"/>
    <cellStyle name="Date (mmm-yyyy) 2 5" xfId="1116"/>
    <cellStyle name="Date (mmm-yyyy) 3" xfId="1117"/>
    <cellStyle name="Date (mmm-yyyy) 3 2" xfId="1118"/>
    <cellStyle name="Date (mmm-yyyy) 3 2 2" xfId="1119"/>
    <cellStyle name="Date (mmm-yyyy) 3 3" xfId="1120"/>
    <cellStyle name="Date (mmm-yyyy) 3 4" xfId="1121"/>
    <cellStyle name="Date (mmm-yyyy) 4" xfId="1122"/>
    <cellStyle name="Date (mmm-yyyy) 4 2" xfId="1123"/>
    <cellStyle name="Date (mmm-yyyy) 4 2 2" xfId="1124"/>
    <cellStyle name="Date (mmm-yyyy) 4 3" xfId="1125"/>
    <cellStyle name="Date (mmm-yyyy) 4 4" xfId="1126"/>
    <cellStyle name="Date (mmm-yyyy) 5" xfId="1127"/>
    <cellStyle name="Date (mmm-yyyy) 5 2" xfId="1128"/>
    <cellStyle name="Date (mmm-yyyy) 5 2 2" xfId="1129"/>
    <cellStyle name="Date (mmm-yyyy) 5 3" xfId="1130"/>
    <cellStyle name="Date (mmm-yyyy) 5 4" xfId="1131"/>
    <cellStyle name="Date (mmm-yyyy) 6" xfId="1132"/>
    <cellStyle name="Date (mmm-yyyy) 6 2" xfId="1133"/>
    <cellStyle name="Date (mmm-yyyy) 7" xfId="1134"/>
    <cellStyle name="Date (mmm-yyyy) 8" xfId="1135"/>
    <cellStyle name="Date Short" xfId="1136"/>
    <cellStyle name="Date_1133 York 2005 BP Draft" xfId="1137"/>
    <cellStyle name="DATETIME" xfId="29"/>
    <cellStyle name="dd" xfId="1138"/>
    <cellStyle name="DELTA" xfId="1139"/>
    <cellStyle name="Dex Doub Line" xfId="1140"/>
    <cellStyle name="Dex Doub Line 2" xfId="1141"/>
    <cellStyle name="Dezimal_Comparison WTF Portfolio Valuation 2001 (CB RE)" xfId="1142"/>
    <cellStyle name="DIVISION" xfId="1143"/>
    <cellStyle name="Dollar" xfId="1144"/>
    <cellStyle name="Dollar (zero dec)" xfId="1145"/>
    <cellStyle name="Dollars" xfId="1146"/>
    <cellStyle name="Dollars []" xfId="1147"/>
    <cellStyle name="dotted" xfId="1148"/>
    <cellStyle name="dotted 2" xfId="1149"/>
    <cellStyle name="Double Accounting" xfId="1150"/>
    <cellStyle name="dr" xfId="1151"/>
    <cellStyle name="ds" xfId="1152"/>
    <cellStyle name="ds 2" xfId="1153"/>
    <cellStyle name="Duration (Months)" xfId="117"/>
    <cellStyle name="Duration (Months) 2" xfId="1154"/>
    <cellStyle name="Duration (Months) 2 2" xfId="1155"/>
    <cellStyle name="Duration (Months) 2 2 2" xfId="1156"/>
    <cellStyle name="Duration (Months) 2 2 2 2" xfId="1157"/>
    <cellStyle name="Duration (Months) 2 2 3" xfId="1158"/>
    <cellStyle name="Duration (Months) 2 2 4" xfId="1159"/>
    <cellStyle name="Duration (Months) 2 3" xfId="1160"/>
    <cellStyle name="Duration (Months) 2 3 2" xfId="1161"/>
    <cellStyle name="Duration (Months) 2 4" xfId="1162"/>
    <cellStyle name="Duration (Months) 2 5" xfId="1163"/>
    <cellStyle name="Duration (Months) 3" xfId="1164"/>
    <cellStyle name="Duration (Months) 3 2" xfId="1165"/>
    <cellStyle name="Duration (Months) 3 2 2" xfId="1166"/>
    <cellStyle name="Duration (Months) 3 3" xfId="1167"/>
    <cellStyle name="Duration (Months) 3 4" xfId="1168"/>
    <cellStyle name="Duration (Months) 4" xfId="1169"/>
    <cellStyle name="Duration (Months) 4 2" xfId="1170"/>
    <cellStyle name="Duration (Months) 4 2 2" xfId="1171"/>
    <cellStyle name="Duration (Months) 4 3" xfId="1172"/>
    <cellStyle name="Duration (Months) 4 4" xfId="1173"/>
    <cellStyle name="Duration (Months) 5" xfId="1174"/>
    <cellStyle name="Duration (Months) 5 2" xfId="1175"/>
    <cellStyle name="Duration (Months) 5 2 2" xfId="1176"/>
    <cellStyle name="Duration (Months) 5 3" xfId="1177"/>
    <cellStyle name="Duration (Months) 5 4" xfId="1178"/>
    <cellStyle name="Duration (Months) 6" xfId="1179"/>
    <cellStyle name="Duration (Months) 6 2" xfId="1180"/>
    <cellStyle name="Duration (Months) 7" xfId="1181"/>
    <cellStyle name="Duration (Months) 8" xfId="1182"/>
    <cellStyle name="Duration (Years)" xfId="118"/>
    <cellStyle name="Duration (Years) 2" xfId="1183"/>
    <cellStyle name="Duration (Years) 2 2" xfId="1184"/>
    <cellStyle name="Duration (Years) 2 2 2" xfId="1185"/>
    <cellStyle name="Duration (Years) 2 2 2 2" xfId="1186"/>
    <cellStyle name="Duration (Years) 2 2 3" xfId="1187"/>
    <cellStyle name="Duration (Years) 2 2 4" xfId="1188"/>
    <cellStyle name="Duration (Years) 2 3" xfId="1189"/>
    <cellStyle name="Duration (Years) 2 3 2" xfId="1190"/>
    <cellStyle name="Duration (Years) 2 4" xfId="1191"/>
    <cellStyle name="Duration (Years) 2 5" xfId="1192"/>
    <cellStyle name="Duration (Years) 3" xfId="1193"/>
    <cellStyle name="Duration (Years) 3 2" xfId="1194"/>
    <cellStyle name="Duration (Years) 3 2 2" xfId="1195"/>
    <cellStyle name="Duration (Years) 3 3" xfId="1196"/>
    <cellStyle name="Duration (Years) 3 4" xfId="1197"/>
    <cellStyle name="Duration (Years) 4" xfId="1198"/>
    <cellStyle name="Duration (Years) 4 2" xfId="1199"/>
    <cellStyle name="Duration (Years) 4 2 2" xfId="1200"/>
    <cellStyle name="Duration (Years) 4 3" xfId="1201"/>
    <cellStyle name="Duration (Years) 4 4" xfId="1202"/>
    <cellStyle name="Duration (Years) 5" xfId="1203"/>
    <cellStyle name="Duration (Years) 5 2" xfId="1204"/>
    <cellStyle name="Duration (Years) 5 2 2" xfId="1205"/>
    <cellStyle name="Duration (Years) 5 3" xfId="1206"/>
    <cellStyle name="Duration (Years) 5 4" xfId="1207"/>
    <cellStyle name="Duration (Years) 6" xfId="1208"/>
    <cellStyle name="Duration (Years) 6 2" xfId="1209"/>
    <cellStyle name="Duration (Years) 7" xfId="1210"/>
    <cellStyle name="Duration (Years) 8" xfId="1211"/>
    <cellStyle name="Enter Currency (0)" xfId="1212"/>
    <cellStyle name="Enter Currency (2)" xfId="1213"/>
    <cellStyle name="Enter Units (0)" xfId="1214"/>
    <cellStyle name="Enter Units (1)" xfId="1215"/>
    <cellStyle name="Enter Units (2)" xfId="1216"/>
    <cellStyle name="Euro" xfId="1217"/>
    <cellStyle name="EvenBodyShade" xfId="30"/>
    <cellStyle name="EvenBodyShade 2" xfId="31"/>
    <cellStyle name="EvenBodyShade 2 2" xfId="133"/>
    <cellStyle name="EvenBodyShade 2 3" xfId="1218"/>
    <cellStyle name="EvenBodyShade 2 4" xfId="1219"/>
    <cellStyle name="f" xfId="1220"/>
    <cellStyle name="F1" xfId="32"/>
    <cellStyle name="ff" xfId="1221"/>
    <cellStyle name="financial" xfId="1222"/>
    <cellStyle name="Fix 0" xfId="1223"/>
    <cellStyle name="Fix 0.0" xfId="1224"/>
    <cellStyle name="Fix 0.00" xfId="1225"/>
    <cellStyle name="Fixed" xfId="1226"/>
    <cellStyle name="fn" xfId="1227"/>
    <cellStyle name="FOOTNOTE" xfId="1228"/>
    <cellStyle name="GER" xfId="1229"/>
    <cellStyle name="GrandTotal" xfId="33"/>
    <cellStyle name="Grey" xfId="34"/>
    <cellStyle name="h" xfId="1230"/>
    <cellStyle name="h_DCF" xfId="1231"/>
    <cellStyle name="h_Macros" xfId="1232"/>
    <cellStyle name="h_Macros (3)" xfId="1233"/>
    <cellStyle name="h_Manager" xfId="1234"/>
    <cellStyle name="h_Manager (2)" xfId="1235"/>
    <cellStyle name="h1" xfId="1236"/>
    <cellStyle name="h2" xfId="1237"/>
    <cellStyle name="h3" xfId="1238"/>
    <cellStyle name="Head0" xfId="35"/>
    <cellStyle name="Head1" xfId="36"/>
    <cellStyle name="Head2" xfId="37"/>
    <cellStyle name="Head3" xfId="38"/>
    <cellStyle name="Head4" xfId="39"/>
    <cellStyle name="Head5" xfId="40"/>
    <cellStyle name="Head6" xfId="41"/>
    <cellStyle name="Head7" xfId="42"/>
    <cellStyle name="Head8" xfId="43"/>
    <cellStyle name="Head9" xfId="44"/>
    <cellStyle name="Header" xfId="1239"/>
    <cellStyle name="Header1" xfId="1240"/>
    <cellStyle name="Header2" xfId="1241"/>
    <cellStyle name="Header2 2" xfId="1242"/>
    <cellStyle name="Header2 3" xfId="1243"/>
    <cellStyle name="Heading" xfId="1244"/>
    <cellStyle name="Heading 4 2" xfId="114"/>
    <cellStyle name="Heading 4 2 2" xfId="1245"/>
    <cellStyle name="Heading 4 2 2 2" xfId="1246"/>
    <cellStyle name="Heading 4 2 3" xfId="1247"/>
    <cellStyle name="Heading 4 2 4" xfId="1248"/>
    <cellStyle name="Heading1" xfId="1249"/>
    <cellStyle name="Heading2" xfId="1250"/>
    <cellStyle name="Heading3" xfId="1251"/>
    <cellStyle name="HeadingS" xfId="1252"/>
    <cellStyle name="HeadShade" xfId="45"/>
    <cellStyle name="hh" xfId="1253"/>
    <cellStyle name="Hide" xfId="1254"/>
    <cellStyle name="HIGHLIGHT" xfId="1255"/>
    <cellStyle name="hj" xfId="1256"/>
    <cellStyle name="I" xfId="46"/>
    <cellStyle name="i 10" xfId="1257"/>
    <cellStyle name="I 11" xfId="1258"/>
    <cellStyle name="I 12" xfId="1259"/>
    <cellStyle name="I 13" xfId="1260"/>
    <cellStyle name="I 14" xfId="1261"/>
    <cellStyle name="I 15" xfId="1262"/>
    <cellStyle name="I 16" xfId="1263"/>
    <cellStyle name="I 17" xfId="1264"/>
    <cellStyle name="I 2" xfId="1265"/>
    <cellStyle name="i 3" xfId="1266"/>
    <cellStyle name="i 4" xfId="1267"/>
    <cellStyle name="i 5" xfId="1268"/>
    <cellStyle name="i 6" xfId="1269"/>
    <cellStyle name="i 7" xfId="1270"/>
    <cellStyle name="i 8" xfId="1271"/>
    <cellStyle name="i 9" xfId="1272"/>
    <cellStyle name="in" xfId="1273"/>
    <cellStyle name="In/Out" xfId="119"/>
    <cellStyle name="In/Out 2" xfId="1274"/>
    <cellStyle name="In/Out 2 2" xfId="1275"/>
    <cellStyle name="In/Out 3" xfId="1276"/>
    <cellStyle name="In/Out 4" xfId="1277"/>
    <cellStyle name="Input [yellow]" xfId="47"/>
    <cellStyle name="Input [yellow] 2" xfId="1278"/>
    <cellStyle name="InputBlueFont" xfId="1279"/>
    <cellStyle name="InputBlueFontLocked" xfId="1280"/>
    <cellStyle name="Line Items" xfId="120"/>
    <cellStyle name="Link Currency (0)" xfId="1281"/>
    <cellStyle name="Link Currency (2)" xfId="1282"/>
    <cellStyle name="Link Units (0)" xfId="1283"/>
    <cellStyle name="Link Units (1)" xfId="1284"/>
    <cellStyle name="Link Units (2)" xfId="1285"/>
    <cellStyle name="M" xfId="48"/>
    <cellStyle name="m 10" xfId="1286"/>
    <cellStyle name="M 11" xfId="1287"/>
    <cellStyle name="M 12" xfId="1288"/>
    <cellStyle name="M 13" xfId="1289"/>
    <cellStyle name="M 14" xfId="1290"/>
    <cellStyle name="M 15" xfId="1291"/>
    <cellStyle name="M 16" xfId="1292"/>
    <cellStyle name="M 17" xfId="1293"/>
    <cellStyle name="M 2" xfId="1294"/>
    <cellStyle name="m 3" xfId="1295"/>
    <cellStyle name="m 4" xfId="1296"/>
    <cellStyle name="m 5" xfId="1297"/>
    <cellStyle name="m 6" xfId="1298"/>
    <cellStyle name="m 7" xfId="1299"/>
    <cellStyle name="m 8" xfId="1300"/>
    <cellStyle name="m 9" xfId="1301"/>
    <cellStyle name="m_Fort3" xfId="1302"/>
    <cellStyle name="m_Macros" xfId="1303"/>
    <cellStyle name="m_Macros (2)" xfId="1304"/>
    <cellStyle name="m_Macros (2)_Daudet_1" xfId="1305"/>
    <cellStyle name="m_Macros (2)_Fort3" xfId="1306"/>
    <cellStyle name="m_Macros (2)_IBM18" xfId="1307"/>
    <cellStyle name="m_Macros (2)_IBM27" xfId="1308"/>
    <cellStyle name="m_Macros (2)_SPAD3" xfId="1309"/>
    <cellStyle name="m_Macros (2)_SPAD4" xfId="1310"/>
    <cellStyle name="m_Macros (3)" xfId="1311"/>
    <cellStyle name="m_Macros (3)_CFZEUS8" xfId="1312"/>
    <cellStyle name="m_Macros (3)_Daudet_1" xfId="1313"/>
    <cellStyle name="m_Macros (3)_Fort3" xfId="1314"/>
    <cellStyle name="m_Macros (3)_Fort3_1133 York Q4RF - VALUATION - $36mm SPv3" xfId="1315"/>
    <cellStyle name="m_Macros (3)_Fort3_220 E 63rd - Q4RF - VALUATIONv4" xfId="1316"/>
    <cellStyle name="m_Macros (3)_Fort3_Apartment Model 5.31.08v3" xfId="1317"/>
    <cellStyle name="m_Macros (3)_Fort3_Charles St Model - 2008.09.30 (with equity syndication) (version 1)" xfId="1318"/>
    <cellStyle name="m_Macros (3)_Fort3_Indirect Template (cleaned formatted)" xfId="1319"/>
    <cellStyle name="m_Macros (3)_Fort3_NEW Palatine Model Apartment 2008 with metrics pagev2" xfId="1320"/>
    <cellStyle name="m_Macros (3)_Fort3_Odyssey - Q4 Valuation new v2" xfId="1321"/>
    <cellStyle name="m_Macros (3)_Fort3_Odyssey 07 Oct 05" xfId="1322"/>
    <cellStyle name="m_Macros (3)_Fort3_Odyssey 1Q2007. v1" xfId="1323"/>
    <cellStyle name="m_Macros (3)_Fort3_Palatine - 2006 BP Summary 12.15.2005" xfId="1324"/>
    <cellStyle name="m_Macros (3)_Fort3_Palatine Model - 2006-01-03 - Business Plan" xfId="1325"/>
    <cellStyle name="m_Macros (3)_Fort3_Palatine Model - 2006-01-23 - Tables and New Fina BP Model New New Times Two " xfId="1326"/>
    <cellStyle name="m_Macros (3)_Fort3_Palatine Model - 2006-01-30 - tables" xfId="1327"/>
    <cellStyle name="m_Macros (3)_Fort3_Palatine Model - 3-12-07" xfId="1328"/>
    <cellStyle name="m_Macros (3)_Fort3_Ridge Asset Managment Model 9.30.08" xfId="1329"/>
    <cellStyle name="m_Macros (3)_Fort3_Sunset Villas Model 07.31.07 - VALUATION v2" xfId="1330"/>
    <cellStyle name="m_Macros (3)_Fort3_Valuation Template Non Operaating Deal 04.17.08" xfId="1331"/>
    <cellStyle name="m_Macros (3)_Fort3_Valuation Template Operating Deal 04.17.08" xfId="1332"/>
    <cellStyle name="m_Macros (3)_Ibm21" xfId="1333"/>
    <cellStyle name="m_Macros (3)_Ibm21_Daudet_1" xfId="1334"/>
    <cellStyle name="m_Macros (3)_perry13" xfId="1335"/>
    <cellStyle name="m_Macros (3)_SPAD3" xfId="1336"/>
    <cellStyle name="m_Macros (3)_SPAD4" xfId="1337"/>
    <cellStyle name="m_Macros (3)_ZeusCF1" xfId="1338"/>
    <cellStyle name="m_Macros_Daudet_1" xfId="1339"/>
    <cellStyle name="m_Macros_Fort3" xfId="1340"/>
    <cellStyle name="m_Macros_IBM18" xfId="1341"/>
    <cellStyle name="m_Macros_IBM27" xfId="1342"/>
    <cellStyle name="m_Macros_SPAD3" xfId="1343"/>
    <cellStyle name="m_Macros_SPAD4" xfId="1344"/>
    <cellStyle name="m_Manager" xfId="1345"/>
    <cellStyle name="m_Manager (2)" xfId="1346"/>
    <cellStyle name="m_Manager (2)_1" xfId="1347"/>
    <cellStyle name="m_Manager (2)_1_CFZEUS8" xfId="1348"/>
    <cellStyle name="m_Manager (2)_1_Daudet_1" xfId="1349"/>
    <cellStyle name="m_Manager (2)_1_Fort3" xfId="1350"/>
    <cellStyle name="m_Manager (2)_1_Fort3_1133 York Q4RF - VALUATION - $36mm SPv3" xfId="1351"/>
    <cellStyle name="m_Manager (2)_1_Fort3_220 E 63rd - Q4RF - VALUATIONv4" xfId="1352"/>
    <cellStyle name="m_Manager (2)_1_Fort3_Apartment Model 5.31.08v3" xfId="1353"/>
    <cellStyle name="m_Manager (2)_1_Fort3_Charles St Model - 2008.09.30 (with equity syndication) (version 1)" xfId="1354"/>
    <cellStyle name="m_Manager (2)_1_Fort3_Indirect Template (cleaned formatted)" xfId="1355"/>
    <cellStyle name="m_Manager (2)_1_Fort3_NEW Palatine Model Apartment 2008 with metrics pagev2" xfId="1356"/>
    <cellStyle name="m_Manager (2)_1_Fort3_Odyssey - Q4 Valuation new v2" xfId="1357"/>
    <cellStyle name="m_Manager (2)_1_Fort3_Odyssey 07 Oct 05" xfId="1358"/>
    <cellStyle name="m_Manager (2)_1_Fort3_Odyssey 1Q2007. v1" xfId="1359"/>
    <cellStyle name="m_Manager (2)_1_Fort3_Palatine - 2006 BP Summary 12.15.2005" xfId="1360"/>
    <cellStyle name="m_Manager (2)_1_Fort3_Palatine Model - 2006-01-03 - Business Plan" xfId="1361"/>
    <cellStyle name="m_Manager (2)_1_Fort3_Palatine Model - 2006-01-23 - Tables and New Fina BP Model New New Times Two " xfId="1362"/>
    <cellStyle name="m_Manager (2)_1_Fort3_Palatine Model - 2006-01-30 - tables" xfId="1363"/>
    <cellStyle name="m_Manager (2)_1_Fort3_Palatine Model - 3-12-07" xfId="1364"/>
    <cellStyle name="m_Manager (2)_1_Fort3_Ridge Asset Managment Model 9.30.08" xfId="1365"/>
    <cellStyle name="m_Manager (2)_1_Fort3_Sunset Villas Model 07.31.07 - VALUATION v2" xfId="1366"/>
    <cellStyle name="m_Manager (2)_1_Fort3_Valuation Template Non Operaating Deal 04.17.08" xfId="1367"/>
    <cellStyle name="m_Manager (2)_1_Fort3_Valuation Template Operating Deal 04.17.08" xfId="1368"/>
    <cellStyle name="m_Manager (2)_1_Ibm21" xfId="1369"/>
    <cellStyle name="m_Manager (2)_1_Ibm21_Daudet_1" xfId="1370"/>
    <cellStyle name="m_Manager (2)_1_perry13" xfId="1371"/>
    <cellStyle name="m_Manager (2)_1_SPAD3" xfId="1372"/>
    <cellStyle name="m_Manager (2)_1_SPAD4" xfId="1373"/>
    <cellStyle name="m_Manager (2)_1_ZeusCF1" xfId="1374"/>
    <cellStyle name="m_Manager (2)_Daudet_1" xfId="1375"/>
    <cellStyle name="m_Manager (2)_Fort3" xfId="1376"/>
    <cellStyle name="m_Manager (2)_IBM18" xfId="1377"/>
    <cellStyle name="m_Manager (2)_IBM27" xfId="1378"/>
    <cellStyle name="m_Manager (2)_SPAD3" xfId="1379"/>
    <cellStyle name="m_Manager (2)_SPAD4" xfId="1380"/>
    <cellStyle name="m_Manager_Fort3" xfId="1381"/>
    <cellStyle name="MainData" xfId="1382"/>
    <cellStyle name="Major Heading" xfId="1383"/>
    <cellStyle name="MajorTotal" xfId="1384"/>
    <cellStyle name="MajorTotal 2" xfId="1385"/>
    <cellStyle name="MAND_x000a_CHECK.COMMAND_x000e_RENAME.COMMAND_x0008_SHOW.BAR_x000b_DELETE.MENU_x000e_DELETE.COMMAND_x000e_GET.CHA" xfId="1386"/>
    <cellStyle name="Migliaia (0)_affitto_a_terzi" xfId="1387"/>
    <cellStyle name="Migliaia [0]_ELENCO KPMG def 2Marco" xfId="1388"/>
    <cellStyle name="Migliaia_affitto_a_terzi" xfId="1389"/>
    <cellStyle name="Milliers [0]_laroux" xfId="1390"/>
    <cellStyle name="Milliers_laroux" xfId="1391"/>
    <cellStyle name="Monétaire [0]_laroux" xfId="1392"/>
    <cellStyle name="Monétaire_laroux" xfId="1393"/>
    <cellStyle name="Month #" xfId="121"/>
    <cellStyle name="Month # 2" xfId="1394"/>
    <cellStyle name="Month # 2 2" xfId="1395"/>
    <cellStyle name="Month # 2 2 2" xfId="1396"/>
    <cellStyle name="Month # 2 2 2 2" xfId="1397"/>
    <cellStyle name="Month # 2 2 3" xfId="1398"/>
    <cellStyle name="Month # 2 2 4" xfId="1399"/>
    <cellStyle name="Month # 2 3" xfId="1400"/>
    <cellStyle name="Month # 2 3 2" xfId="1401"/>
    <cellStyle name="Month # 2 4" xfId="1402"/>
    <cellStyle name="Month # 2 5" xfId="1403"/>
    <cellStyle name="Month # 3" xfId="1404"/>
    <cellStyle name="Month # 3 2" xfId="1405"/>
    <cellStyle name="Month # 3 2 2" xfId="1406"/>
    <cellStyle name="Month # 3 3" xfId="1407"/>
    <cellStyle name="Month # 3 4" xfId="1408"/>
    <cellStyle name="Month # 4" xfId="1409"/>
    <cellStyle name="Month # 4 2" xfId="1410"/>
    <cellStyle name="Month # 4 2 2" xfId="1411"/>
    <cellStyle name="Month # 4 3" xfId="1412"/>
    <cellStyle name="Month # 4 4" xfId="1413"/>
    <cellStyle name="Month # 5" xfId="1414"/>
    <cellStyle name="Month # 5 2" xfId="1415"/>
    <cellStyle name="Month # 5 2 2" xfId="1416"/>
    <cellStyle name="Month # 5 3" xfId="1417"/>
    <cellStyle name="Month # 5 4" xfId="1418"/>
    <cellStyle name="Month # 6" xfId="1419"/>
    <cellStyle name="Month # 6 2" xfId="1420"/>
    <cellStyle name="Month # 7" xfId="1421"/>
    <cellStyle name="Month # 8" xfId="1422"/>
    <cellStyle name="MS_COL_STYLE" xfId="1423"/>
    <cellStyle name="mtit" xfId="1424"/>
    <cellStyle name="Multiple" xfId="1425"/>
    <cellStyle name="Multiple (0.0x)" xfId="122"/>
    <cellStyle name="Multiple (0.0x) 2" xfId="1426"/>
    <cellStyle name="Multiple (0.0x) 2 2" xfId="1427"/>
    <cellStyle name="Multiple (0.0x) 2 2 2" xfId="1428"/>
    <cellStyle name="Multiple (0.0x) 2 2 2 2" xfId="1429"/>
    <cellStyle name="Multiple (0.0x) 2 2 3" xfId="1430"/>
    <cellStyle name="Multiple (0.0x) 2 2 4" xfId="1431"/>
    <cellStyle name="Multiple (0.0x) 2 3" xfId="1432"/>
    <cellStyle name="Multiple (0.0x) 2 3 2" xfId="1433"/>
    <cellStyle name="Multiple (0.0x) 2 4" xfId="1434"/>
    <cellStyle name="Multiple (0.0x) 2 5" xfId="1435"/>
    <cellStyle name="Multiple (0.0x) 3" xfId="1436"/>
    <cellStyle name="Multiple (0.0x) 3 2" xfId="1437"/>
    <cellStyle name="Multiple (0.0x) 3 2 2" xfId="1438"/>
    <cellStyle name="Multiple (0.0x) 3 3" xfId="1439"/>
    <cellStyle name="Multiple (0.0x) 3 4" xfId="1440"/>
    <cellStyle name="Multiple (0.0x) 4" xfId="1441"/>
    <cellStyle name="Multiple (0.0x) 4 2" xfId="1442"/>
    <cellStyle name="Multiple (0.0x) 4 2 2" xfId="1443"/>
    <cellStyle name="Multiple (0.0x) 4 3" xfId="1444"/>
    <cellStyle name="Multiple (0.0x) 4 4" xfId="1445"/>
    <cellStyle name="Multiple (0.0x) 5" xfId="1446"/>
    <cellStyle name="Multiple (0.0x) 5 2" xfId="1447"/>
    <cellStyle name="Multiple (0.0x) 5 2 2" xfId="1448"/>
    <cellStyle name="Multiple (0.0x) 5 3" xfId="1449"/>
    <cellStyle name="Multiple (0.0x) 5 4" xfId="1450"/>
    <cellStyle name="Multiple (0.0x) 6" xfId="1451"/>
    <cellStyle name="Multiple (0.0x) 6 2" xfId="1452"/>
    <cellStyle name="Multiple (0.0x) 7" xfId="1453"/>
    <cellStyle name="Multiple (0.0x) 8" xfId="1454"/>
    <cellStyle name="Multiple []" xfId="1455"/>
    <cellStyle name="Multiple [0]" xfId="1456"/>
    <cellStyle name="Multiple [0] []" xfId="1457"/>
    <cellStyle name="Multiple [1]" xfId="1458"/>
    <cellStyle name="Multiple [1] []" xfId="1459"/>
    <cellStyle name="Multiple_220 E 63rd - Q4RF - VALUATIONv4" xfId="1460"/>
    <cellStyle name="n" xfId="1461"/>
    <cellStyle name="n_CFZEUS8" xfId="1462"/>
    <cellStyle name="n_Daudet_1" xfId="1463"/>
    <cellStyle name="n_Fort3" xfId="1464"/>
    <cellStyle name="n_Fort3_1133 York Q4RF - VALUATION - $36mm SPv3" xfId="1465"/>
    <cellStyle name="n_Fort3_220 E 63rd - Q4RF - VALUATIONv4" xfId="1466"/>
    <cellStyle name="n_Fort3_Apartment Model 5.31.08v3" xfId="1467"/>
    <cellStyle name="n_Fort3_Charles St Model - 2008.09.30 (with equity syndication) (version 1)" xfId="1468"/>
    <cellStyle name="n_Fort3_Indirect Template (cleaned formatted)" xfId="1469"/>
    <cellStyle name="n_Fort3_NEW Palatine Model Apartment 2008 with metrics pagev2" xfId="1470"/>
    <cellStyle name="n_Fort3_Odyssey - Q4 Valuation new v2" xfId="1471"/>
    <cellStyle name="n_Fort3_Odyssey 07 Oct 05" xfId="1472"/>
    <cellStyle name="n_Fort3_Odyssey 1Q2007. v1" xfId="1473"/>
    <cellStyle name="n_Fort3_Palatine - 2006 BP Summary 12.15.2005" xfId="1474"/>
    <cellStyle name="n_Fort3_Palatine Model - 2006-01-03 - Business Plan" xfId="1475"/>
    <cellStyle name="n_Fort3_Palatine Model - 2006-01-23 - Tables and New Fina BP Model New New Times Two " xfId="1476"/>
    <cellStyle name="n_Fort3_Palatine Model - 2006-01-30 - tables" xfId="1477"/>
    <cellStyle name="n_Fort3_Palatine Model - 3-12-07" xfId="1478"/>
    <cellStyle name="n_Fort3_Ridge Asset Managment Model 9.30.08" xfId="1479"/>
    <cellStyle name="n_Fort3_Sunset Villas Model 07.31.07 - VALUATION v2" xfId="1480"/>
    <cellStyle name="n_Fort3_Valuation Template Non Operaating Deal 04.17.08" xfId="1481"/>
    <cellStyle name="n_Fort3_Valuation Template Operating Deal 04.17.08" xfId="1482"/>
    <cellStyle name="n_Ibm21" xfId="1483"/>
    <cellStyle name="n_Ibm21_Daudet_1" xfId="1484"/>
    <cellStyle name="n_Macros (3)" xfId="1485"/>
    <cellStyle name="n_Macros (3)_BPPerry2" xfId="1486"/>
    <cellStyle name="n_Macros (3)_Fort3" xfId="1487"/>
    <cellStyle name="n_Macros (3)_IBM18" xfId="1488"/>
    <cellStyle name="n_Macros (3)_IBM18_Daudet_1" xfId="1489"/>
    <cellStyle name="n_Macros (3)_IBM27" xfId="1490"/>
    <cellStyle name="n_Macros (3)_SPAD3" xfId="1491"/>
    <cellStyle name="n_Macros (3)_SPAD4" xfId="1492"/>
    <cellStyle name="n_Manager" xfId="1493"/>
    <cellStyle name="n_Manager (2)" xfId="1494"/>
    <cellStyle name="n_Manager (2)_BPPerry2" xfId="1495"/>
    <cellStyle name="n_Manager (2)_Fort3" xfId="1496"/>
    <cellStyle name="n_Manager (2)_IBM18" xfId="1497"/>
    <cellStyle name="n_Manager (2)_IBM18_Daudet_1" xfId="1498"/>
    <cellStyle name="n_Manager (2)_IBM27" xfId="1499"/>
    <cellStyle name="n_Manager (2)_SPAD3" xfId="1500"/>
    <cellStyle name="n_Manager (2)_SPAD4" xfId="1501"/>
    <cellStyle name="n_Manager_Daudet_1" xfId="1502"/>
    <cellStyle name="n_Manager_Fort3" xfId="1503"/>
    <cellStyle name="n_Manager_Fort3_1133 York Q4RF - VALUATION - $36mm SPv3" xfId="1504"/>
    <cellStyle name="n_Manager_Fort3_220 E 63rd - Q4RF - VALUATIONv4" xfId="1505"/>
    <cellStyle name="n_Manager_Fort3_Apartment Model 5.31.08v3" xfId="1506"/>
    <cellStyle name="n_Manager_Fort3_Charles St Model - 2008.09.30 (with equity syndication) (version 1)" xfId="1507"/>
    <cellStyle name="n_Manager_Fort3_Indirect Template (cleaned formatted)" xfId="1508"/>
    <cellStyle name="n_Manager_Fort3_NEW Palatine Model Apartment 2008 with metrics pagev2" xfId="1509"/>
    <cellStyle name="n_Manager_Fort3_Odyssey - Q4 Valuation new v2" xfId="1510"/>
    <cellStyle name="n_Manager_Fort3_Odyssey 07 Oct 05" xfId="1511"/>
    <cellStyle name="n_Manager_Fort3_Odyssey 1Q2007. v1" xfId="1512"/>
    <cellStyle name="n_Manager_Fort3_Palatine - 2006 BP Summary 12.15.2005" xfId="1513"/>
    <cellStyle name="n_Manager_Fort3_Palatine Model - 2006-01-03 - Business Plan" xfId="1514"/>
    <cellStyle name="n_Manager_Fort3_Palatine Model - 2006-01-23 - Tables and New Fina BP Model New New Times Two " xfId="1515"/>
    <cellStyle name="n_Manager_Fort3_Palatine Model - 2006-01-30 - tables" xfId="1516"/>
    <cellStyle name="n_Manager_Fort3_Palatine Model - 3-12-07" xfId="1517"/>
    <cellStyle name="n_Manager_Fort3_Ridge Asset Managment Model 9.30.08" xfId="1518"/>
    <cellStyle name="n_Manager_Fort3_Sunset Villas Model 07.31.07 - VALUATION v2" xfId="1519"/>
    <cellStyle name="n_Manager_Fort3_Valuation Template Non Operaating Deal 04.17.08" xfId="1520"/>
    <cellStyle name="n_Manager_Fort3_Valuation Template Operating Deal 04.17.08" xfId="1521"/>
    <cellStyle name="n_Manager_Ibm21" xfId="1522"/>
    <cellStyle name="n_Manager_Ibm21_Daudet_1" xfId="1523"/>
    <cellStyle name="n_Manager_SPAD3" xfId="1524"/>
    <cellStyle name="n_Manager_SPAD4" xfId="1525"/>
    <cellStyle name="n_Manager_ZeusCF1" xfId="1526"/>
    <cellStyle name="n_perry13" xfId="1527"/>
    <cellStyle name="n_SPAD3" xfId="1528"/>
    <cellStyle name="n_SPAD4" xfId="1529"/>
    <cellStyle name="n_ZeusCF1" xfId="1530"/>
    <cellStyle name="NACC" xfId="1531"/>
    <cellStyle name="no" xfId="1532"/>
    <cellStyle name="no dec" xfId="1533"/>
    <cellStyle name="norma" xfId="1534"/>
    <cellStyle name="norma 2" xfId="1535"/>
    <cellStyle name="norma 3" xfId="1536"/>
    <cellStyle name="Normal" xfId="0" builtinId="0"/>
    <cellStyle name="Normal - Style1" xfId="49"/>
    <cellStyle name="Normal - Style1 2" xfId="1537"/>
    <cellStyle name="Normal - Style1 2 2" xfId="1538"/>
    <cellStyle name="Normal - Style1 3" xfId="1539"/>
    <cellStyle name="Normal 10" xfId="1540"/>
    <cellStyle name="Normal 10 2" xfId="1541"/>
    <cellStyle name="Normal 10 3" xfId="1542"/>
    <cellStyle name="Normal 10 4" xfId="1543"/>
    <cellStyle name="Normal 11" xfId="1544"/>
    <cellStyle name="Normal 11 2" xfId="1545"/>
    <cellStyle name="Normal 11 3" xfId="1546"/>
    <cellStyle name="Normal 11 4" xfId="1547"/>
    <cellStyle name="Normal 12" xfId="1548"/>
    <cellStyle name="Normal 12 2" xfId="1549"/>
    <cellStyle name="Normal 12 3" xfId="1550"/>
    <cellStyle name="Normal 13" xfId="1551"/>
    <cellStyle name="Normal 13 2" xfId="1552"/>
    <cellStyle name="Normal 13 3" xfId="1553"/>
    <cellStyle name="Normal 14" xfId="1554"/>
    <cellStyle name="Normal 15" xfId="1555"/>
    <cellStyle name="Normal 16" xfId="1556"/>
    <cellStyle name="Normal 17" xfId="1557"/>
    <cellStyle name="Normal 18" xfId="1558"/>
    <cellStyle name="Normal 19" xfId="1559"/>
    <cellStyle name="Normal 2" xfId="95"/>
    <cellStyle name="Normal 2 10" xfId="3195"/>
    <cellStyle name="Normal 2 2" xfId="50"/>
    <cellStyle name="Normal 2 2 2" xfId="51"/>
    <cellStyle name="Normal 2 2 2 2" xfId="52"/>
    <cellStyle name="Normal 2 2 2 2 10" xfId="1560"/>
    <cellStyle name="Normal 2 2 2 2 2" xfId="103"/>
    <cellStyle name="Normal 2 2 2 2 2 2" xfId="144"/>
    <cellStyle name="Normal 2 2 2 2 2 2 2" xfId="155"/>
    <cellStyle name="Normal 2 2 2 2 2 3" xfId="1561"/>
    <cellStyle name="Normal 2 2 2 2 2 3 2" xfId="1562"/>
    <cellStyle name="Normal 2 2 2 2 2 4" xfId="1563"/>
    <cellStyle name="Normal 2 2 2 2 2 4 2" xfId="1564"/>
    <cellStyle name="Normal 2 2 2 2 2 5" xfId="1565"/>
    <cellStyle name="Normal 2 2 2 2 2 6" xfId="1566"/>
    <cellStyle name="Normal 2 2 2 2 2 7" xfId="1567"/>
    <cellStyle name="Normal 2 2 2 2 3" xfId="110"/>
    <cellStyle name="Normal 2 2 2 2 3 2" xfId="151"/>
    <cellStyle name="Normal 2 2 2 2 3 2 2" xfId="1568"/>
    <cellStyle name="Normal 2 2 2 2 3 3" xfId="1569"/>
    <cellStyle name="Normal 2 2 2 2 3 3 2" xfId="1570"/>
    <cellStyle name="Normal 2 2 2 2 3 4" xfId="1571"/>
    <cellStyle name="Normal 2 2 2 2 3 4 2" xfId="1572"/>
    <cellStyle name="Normal 2 2 2 2 3 5" xfId="1573"/>
    <cellStyle name="Normal 2 2 2 2 3 6" xfId="1574"/>
    <cellStyle name="Normal 2 2 2 2 3 7" xfId="1575"/>
    <cellStyle name="Normal 2 2 2 2 4" xfId="134"/>
    <cellStyle name="Normal 2 2 2 2 4 2" xfId="1576"/>
    <cellStyle name="Normal 2 2 2 2 5" xfId="1577"/>
    <cellStyle name="Normal 2 2 2 2 5 2" xfId="1578"/>
    <cellStyle name="Normal 2 2 2 2 6" xfId="1579"/>
    <cellStyle name="Normal 2 2 2 2 6 2" xfId="1580"/>
    <cellStyle name="Normal 2 2 2 2 7" xfId="1581"/>
    <cellStyle name="Normal 2 2 2 2 8" xfId="1582"/>
    <cellStyle name="Normal 2 2 2 2 9" xfId="1583"/>
    <cellStyle name="Normal 2 2 3" xfId="3196"/>
    <cellStyle name="Normal 2 3" xfId="140"/>
    <cellStyle name="Normal 2 3 2" xfId="1584"/>
    <cellStyle name="Normal 2 3 3" xfId="1585"/>
    <cellStyle name="Normal 2 4" xfId="1586"/>
    <cellStyle name="Normal 2 4 2" xfId="1587"/>
    <cellStyle name="Normal 2 5" xfId="1588"/>
    <cellStyle name="Normal 2 5 2" xfId="1589"/>
    <cellStyle name="Normal 2 6" xfId="1590"/>
    <cellStyle name="Normal 2 7" xfId="1591"/>
    <cellStyle name="Normal 2 8" xfId="1592"/>
    <cellStyle name="Normal 2 9" xfId="1593"/>
    <cellStyle name="Normal 20" xfId="1594"/>
    <cellStyle name="Normal 21" xfId="1595"/>
    <cellStyle name="Normal 22" xfId="1596"/>
    <cellStyle name="Normal 23" xfId="1597"/>
    <cellStyle name="Normal 24" xfId="1598"/>
    <cellStyle name="Normal 25" xfId="1599"/>
    <cellStyle name="Normal 26" xfId="1600"/>
    <cellStyle name="Normal 27" xfId="1601"/>
    <cellStyle name="Normal 28" xfId="1602"/>
    <cellStyle name="Normal 29" xfId="1603"/>
    <cellStyle name="Normal 3" xfId="106"/>
    <cellStyle name="Normal 3 10" xfId="1604"/>
    <cellStyle name="Normal 3 2" xfId="98"/>
    <cellStyle name="Normal 3 3" xfId="147"/>
    <cellStyle name="Normal 3 3 2" xfId="1605"/>
    <cellStyle name="Normal 3 3 3" xfId="1606"/>
    <cellStyle name="Normal 3 4" xfId="1607"/>
    <cellStyle name="Normal 3 4 2" xfId="1608"/>
    <cellStyle name="Normal 3 5" xfId="1609"/>
    <cellStyle name="Normal 3 5 2" xfId="1610"/>
    <cellStyle name="Normal 3 6" xfId="1611"/>
    <cellStyle name="Normal 3 7" xfId="1612"/>
    <cellStyle name="Normal 3 8" xfId="1613"/>
    <cellStyle name="Normal 3 9" xfId="1614"/>
    <cellStyle name="Normal 30" xfId="1615"/>
    <cellStyle name="Normal 31" xfId="1616"/>
    <cellStyle name="Normal 32" xfId="1617"/>
    <cellStyle name="Normal 33" xfId="1618"/>
    <cellStyle name="Normal 34" xfId="1619"/>
    <cellStyle name="Normal 35" xfId="1620"/>
    <cellStyle name="Normal 36" xfId="1621"/>
    <cellStyle name="Normal 37" xfId="1622"/>
    <cellStyle name="Normal 38" xfId="1623"/>
    <cellStyle name="Normal 39" xfId="1624"/>
    <cellStyle name="Normal 4" xfId="107"/>
    <cellStyle name="Normal 4 10" xfId="1625"/>
    <cellStyle name="Normal 4 2" xfId="53"/>
    <cellStyle name="Normal 4 3" xfId="148"/>
    <cellStyle name="Normal 4 3 2" xfId="1626"/>
    <cellStyle name="Normal 4 4" xfId="1627"/>
    <cellStyle name="Normal 4 4 2" xfId="1628"/>
    <cellStyle name="Normal 4 5" xfId="1629"/>
    <cellStyle name="Normal 4 5 2" xfId="1630"/>
    <cellStyle name="Normal 4 6" xfId="1631"/>
    <cellStyle name="Normal 4 7" xfId="1632"/>
    <cellStyle name="Normal 4 8" xfId="1633"/>
    <cellStyle name="Normal 4 9" xfId="1634"/>
    <cellStyle name="Normal 40" xfId="1635"/>
    <cellStyle name="Normal 41" xfId="1636"/>
    <cellStyle name="Normal 42" xfId="1637"/>
    <cellStyle name="Normal 43" xfId="1638"/>
    <cellStyle name="Normal 44" xfId="1639"/>
    <cellStyle name="Normal 45" xfId="1640"/>
    <cellStyle name="Normal 46" xfId="1641"/>
    <cellStyle name="Normal 47" xfId="1642"/>
    <cellStyle name="Normal 48" xfId="1643"/>
    <cellStyle name="Normal 49" xfId="1644"/>
    <cellStyle name="Normal 5" xfId="108"/>
    <cellStyle name="Normal 5 2" xfId="149"/>
    <cellStyle name="Normal 5 2 2" xfId="1645"/>
    <cellStyle name="Normal 5 3" xfId="1646"/>
    <cellStyle name="Normal 5 3 2" xfId="1647"/>
    <cellStyle name="Normal 5 4" xfId="1648"/>
    <cellStyle name="Normal 5 4 2" xfId="1649"/>
    <cellStyle name="Normal 5 5" xfId="1650"/>
    <cellStyle name="Normal 5 6" xfId="1651"/>
    <cellStyle name="Normal 5 7" xfId="1652"/>
    <cellStyle name="Normal 5 8" xfId="1653"/>
    <cellStyle name="Normal 5 9" xfId="1654"/>
    <cellStyle name="Normal 50" xfId="1655"/>
    <cellStyle name="Normal 51" xfId="1656"/>
    <cellStyle name="Normal 52" xfId="1657"/>
    <cellStyle name="Normal 53" xfId="1658"/>
    <cellStyle name="Normal 54" xfId="1659"/>
    <cellStyle name="Normal 55" xfId="1660"/>
    <cellStyle name="Normal 56" xfId="1661"/>
    <cellStyle name="Normal 57" xfId="1662"/>
    <cellStyle name="Normal 58" xfId="1663"/>
    <cellStyle name="Normal 59" xfId="1664"/>
    <cellStyle name="Normal 6" xfId="54"/>
    <cellStyle name="Normal 6 2" xfId="135"/>
    <cellStyle name="Normal 6 3" xfId="1665"/>
    <cellStyle name="Normal 6 4" xfId="1666"/>
    <cellStyle name="Normal 60" xfId="1667"/>
    <cellStyle name="Normal 61" xfId="1668"/>
    <cellStyle name="Normal 62" xfId="1669"/>
    <cellStyle name="Normal 63" xfId="1670"/>
    <cellStyle name="Normal 64" xfId="1671"/>
    <cellStyle name="Normal 65" xfId="1672"/>
    <cellStyle name="Normal 66" xfId="1673"/>
    <cellStyle name="Normal 67" xfId="1674"/>
    <cellStyle name="Normal 68" xfId="1675"/>
    <cellStyle name="Normal 69" xfId="1676"/>
    <cellStyle name="Normal 7" xfId="4"/>
    <cellStyle name="Normal 7 2" xfId="99"/>
    <cellStyle name="Normal 7 2 2" xfId="142"/>
    <cellStyle name="Normal 7 2 2 2" xfId="154"/>
    <cellStyle name="Normal 7 2 3" xfId="1677"/>
    <cellStyle name="Normal 7 2 3 2" xfId="1678"/>
    <cellStyle name="Normal 7 2 4" xfId="1679"/>
    <cellStyle name="Normal 7 2 4 2" xfId="1680"/>
    <cellStyle name="Normal 7 2 5" xfId="1681"/>
    <cellStyle name="Normal 7 2 5 2" xfId="1682"/>
    <cellStyle name="Normal 7 2 6" xfId="1683"/>
    <cellStyle name="Normal 7 2 7" xfId="1684"/>
    <cellStyle name="Normal 7 2 8" xfId="1685"/>
    <cellStyle name="Normal 7 3" xfId="136"/>
    <cellStyle name="Normal 7 3 2" xfId="153"/>
    <cellStyle name="Normal 7 4" xfId="1686"/>
    <cellStyle name="Normal 7 4 2" xfId="1687"/>
    <cellStyle name="Normal 7 5" xfId="1688"/>
    <cellStyle name="Normal 7 5 2" xfId="1689"/>
    <cellStyle name="Normal 7 6" xfId="1690"/>
    <cellStyle name="Normal 7 7" xfId="1691"/>
    <cellStyle name="Normal 7 8" xfId="1692"/>
    <cellStyle name="Normal 70" xfId="1693"/>
    <cellStyle name="Normal 71" xfId="1694"/>
    <cellStyle name="Normal 72" xfId="1695"/>
    <cellStyle name="Normal 73" xfId="1696"/>
    <cellStyle name="Normal 74" xfId="1697"/>
    <cellStyle name="Normal 75" xfId="1698"/>
    <cellStyle name="Normal 76" xfId="1699"/>
    <cellStyle name="Normal 77" xfId="1700"/>
    <cellStyle name="Normal 78" xfId="1701"/>
    <cellStyle name="Normal 79" xfId="1702"/>
    <cellStyle name="Normal 8" xfId="112"/>
    <cellStyle name="Normal 8 2" xfId="1703"/>
    <cellStyle name="Normal 8 2 2" xfId="1704"/>
    <cellStyle name="Normal 8 3" xfId="1705"/>
    <cellStyle name="Normal 8 4" xfId="1706"/>
    <cellStyle name="Normal 8 5" xfId="1707"/>
    <cellStyle name="Normal 8 6" xfId="1708"/>
    <cellStyle name="Normal 80" xfId="1709"/>
    <cellStyle name="Normal 81" xfId="1710"/>
    <cellStyle name="Normal 82" xfId="1711"/>
    <cellStyle name="Normal 83" xfId="1712"/>
    <cellStyle name="Normal 84" xfId="1713"/>
    <cellStyle name="Normal 85" xfId="8"/>
    <cellStyle name="Normal 9" xfId="156"/>
    <cellStyle name="Normal 9 2" xfId="1714"/>
    <cellStyle name="Normal 9 3" xfId="1715"/>
    <cellStyle name="Normal2" xfId="1716"/>
    <cellStyle name="Normale_385_dettaglio" xfId="1717"/>
    <cellStyle name="Normalny_BP_AI_31072005" xfId="1718"/>
    <cellStyle name="NormalOPrint_Module_E (2)" xfId="1719"/>
    <cellStyle name="Norm伀l_D_TR_OI" xfId="1720"/>
    <cellStyle name="Note 2" xfId="1721"/>
    <cellStyle name="npv" xfId="1722"/>
    <cellStyle name="o" xfId="1723"/>
    <cellStyle name="OddBodyShade" xfId="55"/>
    <cellStyle name="OddBodyShade 2" xfId="56"/>
    <cellStyle name="OddBodyShade 2 2" xfId="137"/>
    <cellStyle name="OddBodyShade 2 3" xfId="1724"/>
    <cellStyle name="OddBodyShade 2 4" xfId="1725"/>
    <cellStyle name="Œ…‹æØ‚è [0.00]_Pro Forma for Yamato Lease" xfId="1726"/>
    <cellStyle name="Œ…‹æØ‚è_Kyowa2 " xfId="1727"/>
    <cellStyle name="ou" xfId="1728"/>
    <cellStyle name="out" xfId="1729"/>
    <cellStyle name="Overscore" xfId="57"/>
    <cellStyle name="Overscore 2" xfId="58"/>
    <cellStyle name="Overscore 2 2" xfId="138"/>
    <cellStyle name="Overscore 2 3" xfId="1730"/>
    <cellStyle name="Overscore 2 4" xfId="1731"/>
    <cellStyle name="Overunder" xfId="59"/>
    <cellStyle name="Overunder 2" xfId="1732"/>
    <cellStyle name="P" xfId="60"/>
    <cellStyle name="p 10" xfId="1733"/>
    <cellStyle name="P 11" xfId="1734"/>
    <cellStyle name="P 12" xfId="1735"/>
    <cellStyle name="P 13" xfId="1736"/>
    <cellStyle name="P 14" xfId="1737"/>
    <cellStyle name="P 15" xfId="1738"/>
    <cellStyle name="P 16" xfId="1739"/>
    <cellStyle name="P 17" xfId="1740"/>
    <cellStyle name="P 2" xfId="1741"/>
    <cellStyle name="p 3" xfId="1742"/>
    <cellStyle name="p 4" xfId="1743"/>
    <cellStyle name="p 5" xfId="1744"/>
    <cellStyle name="p 6" xfId="1745"/>
    <cellStyle name="p 7" xfId="1746"/>
    <cellStyle name="p 8" xfId="1747"/>
    <cellStyle name="p 9" xfId="1748"/>
    <cellStyle name="p_Macros" xfId="1749"/>
    <cellStyle name="p_Macros (2)" xfId="1750"/>
    <cellStyle name="p_Macros (3)" xfId="1751"/>
    <cellStyle name="p_Macros_1" xfId="1752"/>
    <cellStyle name="p_Manager" xfId="1753"/>
    <cellStyle name="p_Manager (2)" xfId="1754"/>
    <cellStyle name="p_Manager (2)_1" xfId="1755"/>
    <cellStyle name="Page Heading" xfId="1756"/>
    <cellStyle name="Page Heading Large" xfId="1757"/>
    <cellStyle name="Page Heading Small" xfId="1758"/>
    <cellStyle name="PB Table Heading" xfId="1759"/>
    <cellStyle name="PB Table Highlight1" xfId="1760"/>
    <cellStyle name="PB Table Highlight2" xfId="1761"/>
    <cellStyle name="PB Table Highlight3" xfId="1762"/>
    <cellStyle name="PB Table Standard Row" xfId="1763"/>
    <cellStyle name="PB Table Subtotal Row" xfId="1764"/>
    <cellStyle name="PB Table Total Row" xfId="1765"/>
    <cellStyle name="pd" xfId="1766"/>
    <cellStyle name="pe" xfId="1767"/>
    <cellStyle name="per" xfId="1768"/>
    <cellStyle name="Percent" xfId="3" builtinId="5"/>
    <cellStyle name="Percent (0)" xfId="1769"/>
    <cellStyle name="Percent (2)" xfId="1770"/>
    <cellStyle name="Percent [0]" xfId="1771"/>
    <cellStyle name="Percent [00]" xfId="1772"/>
    <cellStyle name="Percent [1]" xfId="1773"/>
    <cellStyle name="Percent [1][]" xfId="1774"/>
    <cellStyle name="Percent [1]_220 E 63rd - Q4RF - VALUATIONv4" xfId="1775"/>
    <cellStyle name="Percent [2]" xfId="62"/>
    <cellStyle name="Percent 0%" xfId="1776"/>
    <cellStyle name="Percent 0.0%" xfId="1777"/>
    <cellStyle name="Percent 0.00%" xfId="1778"/>
    <cellStyle name="Percent 10" xfId="1779"/>
    <cellStyle name="Percent 10 2" xfId="1780"/>
    <cellStyle name="Percent 100" xfId="1781"/>
    <cellStyle name="Percent 101" xfId="1782"/>
    <cellStyle name="Percent 102" xfId="1783"/>
    <cellStyle name="Percent 103" xfId="1784"/>
    <cellStyle name="Percent 104" xfId="1785"/>
    <cellStyle name="Percent 105" xfId="1786"/>
    <cellStyle name="Percent 106" xfId="1787"/>
    <cellStyle name="Percent 107" xfId="1788"/>
    <cellStyle name="Percent 108" xfId="1789"/>
    <cellStyle name="Percent 109" xfId="1790"/>
    <cellStyle name="Percent 11" xfId="1791"/>
    <cellStyle name="Percent 110" xfId="1792"/>
    <cellStyle name="Percent 111" xfId="1793"/>
    <cellStyle name="Percent 112" xfId="1794"/>
    <cellStyle name="Percent 113" xfId="1795"/>
    <cellStyle name="Percent 114" xfId="1796"/>
    <cellStyle name="Percent 115" xfId="1797"/>
    <cellStyle name="Percent 116" xfId="1798"/>
    <cellStyle name="Percent 117" xfId="1799"/>
    <cellStyle name="Percent 118" xfId="1800"/>
    <cellStyle name="Percent 119" xfId="1801"/>
    <cellStyle name="Percent 12" xfId="1802"/>
    <cellStyle name="Percent 120" xfId="1803"/>
    <cellStyle name="Percent 121" xfId="1804"/>
    <cellStyle name="Percent 122" xfId="1805"/>
    <cellStyle name="Percent 123" xfId="1806"/>
    <cellStyle name="Percent 124" xfId="1807"/>
    <cellStyle name="Percent 125" xfId="1808"/>
    <cellStyle name="Percent 126" xfId="1809"/>
    <cellStyle name="Percent 127" xfId="1810"/>
    <cellStyle name="Percent 128" xfId="1811"/>
    <cellStyle name="Percent 129" xfId="1812"/>
    <cellStyle name="Percent 13" xfId="1813"/>
    <cellStyle name="Percent 130" xfId="1814"/>
    <cellStyle name="Percent 131" xfId="1815"/>
    <cellStyle name="Percent 132" xfId="1816"/>
    <cellStyle name="Percent 133" xfId="1817"/>
    <cellStyle name="Percent 134" xfId="1818"/>
    <cellStyle name="Percent 135" xfId="1819"/>
    <cellStyle name="Percent 136" xfId="1820"/>
    <cellStyle name="Percent 137" xfId="1821"/>
    <cellStyle name="Percent 138" xfId="1822"/>
    <cellStyle name="Percent 139" xfId="1823"/>
    <cellStyle name="Percent 14" xfId="1824"/>
    <cellStyle name="Percent 14 2" xfId="1825"/>
    <cellStyle name="Percent 140" xfId="1826"/>
    <cellStyle name="Percent 141" xfId="1827"/>
    <cellStyle name="Percent 142" xfId="1828"/>
    <cellStyle name="Percent 143" xfId="1829"/>
    <cellStyle name="Percent 144" xfId="1830"/>
    <cellStyle name="Percent 145" xfId="1831"/>
    <cellStyle name="Percent 146" xfId="1832"/>
    <cellStyle name="Percent 147" xfId="1833"/>
    <cellStyle name="Percent 148" xfId="1834"/>
    <cellStyle name="Percent 149" xfId="1835"/>
    <cellStyle name="Percent 15" xfId="1836"/>
    <cellStyle name="Percent 15 2" xfId="1837"/>
    <cellStyle name="Percent 150" xfId="1838"/>
    <cellStyle name="Percent 151" xfId="1839"/>
    <cellStyle name="Percent 152" xfId="1840"/>
    <cellStyle name="Percent 153" xfId="1841"/>
    <cellStyle name="Percent 154" xfId="1842"/>
    <cellStyle name="Percent 155" xfId="1843"/>
    <cellStyle name="Percent 156" xfId="1844"/>
    <cellStyle name="Percent 157" xfId="1845"/>
    <cellStyle name="Percent 158" xfId="1846"/>
    <cellStyle name="Percent 159" xfId="1847"/>
    <cellStyle name="Percent 16" xfId="1848"/>
    <cellStyle name="Percent 160" xfId="61"/>
    <cellStyle name="Percent 17" xfId="1849"/>
    <cellStyle name="Percent 18" xfId="1850"/>
    <cellStyle name="Percent 19" xfId="1851"/>
    <cellStyle name="Percent 2" xfId="6"/>
    <cellStyle name="Percent 2 2" xfId="63"/>
    <cellStyle name="Percent 2 2 2" xfId="1852"/>
    <cellStyle name="Percent 2 3" xfId="1853"/>
    <cellStyle name="Percent 2 3 2" xfId="1854"/>
    <cellStyle name="Percent 2 4" xfId="1855"/>
    <cellStyle name="Percent 2 4 2" xfId="1856"/>
    <cellStyle name="Percent 2 4 3" xfId="1857"/>
    <cellStyle name="Percent 2 4 3 2" xfId="1858"/>
    <cellStyle name="Percent 2 4 4" xfId="1859"/>
    <cellStyle name="Percent 2 5" xfId="1860"/>
    <cellStyle name="Percent 2 5 2" xfId="1861"/>
    <cellStyle name="Percent 2 6" xfId="1862"/>
    <cellStyle name="Percent 20" xfId="1863"/>
    <cellStyle name="Percent 21" xfId="1864"/>
    <cellStyle name="Percent 22" xfId="1865"/>
    <cellStyle name="Percent 23" xfId="1866"/>
    <cellStyle name="Percent 24" xfId="1867"/>
    <cellStyle name="Percent 25" xfId="1868"/>
    <cellStyle name="Percent 26" xfId="1869"/>
    <cellStyle name="Percent 27" xfId="1870"/>
    <cellStyle name="Percent 28" xfId="1871"/>
    <cellStyle name="Percent 29" xfId="1872"/>
    <cellStyle name="Percent 3" xfId="64"/>
    <cellStyle name="Percent 3 2" xfId="1873"/>
    <cellStyle name="Percent 3 2 2" xfId="1874"/>
    <cellStyle name="Percent 3 3" xfId="1875"/>
    <cellStyle name="Percent 3 3 2" xfId="1876"/>
    <cellStyle name="Percent 3 4" xfId="1877"/>
    <cellStyle name="Percent 3 5" xfId="1878"/>
    <cellStyle name="Percent 30" xfId="1879"/>
    <cellStyle name="Percent 31" xfId="1880"/>
    <cellStyle name="Percent 32" xfId="1881"/>
    <cellStyle name="Percent 33" xfId="1882"/>
    <cellStyle name="Percent 34" xfId="1883"/>
    <cellStyle name="Percent 35" xfId="1884"/>
    <cellStyle name="Percent 36" xfId="1885"/>
    <cellStyle name="Percent 37" xfId="1886"/>
    <cellStyle name="Percent 38" xfId="1887"/>
    <cellStyle name="Percent 39" xfId="1888"/>
    <cellStyle name="Percent 4" xfId="65"/>
    <cellStyle name="Percent 4 2" xfId="66"/>
    <cellStyle name="Percent 4 2 2" xfId="1889"/>
    <cellStyle name="Percent 4 2 3" xfId="1890"/>
    <cellStyle name="Percent 4 3" xfId="1891"/>
    <cellStyle name="Percent 40" xfId="1892"/>
    <cellStyle name="Percent 41" xfId="1893"/>
    <cellStyle name="Percent 42" xfId="1894"/>
    <cellStyle name="Percent 43" xfId="1895"/>
    <cellStyle name="Percent 44" xfId="1896"/>
    <cellStyle name="Percent 45" xfId="1897"/>
    <cellStyle name="Percent 46" xfId="1898"/>
    <cellStyle name="Percent 47" xfId="1899"/>
    <cellStyle name="Percent 48" xfId="1900"/>
    <cellStyle name="Percent 49" xfId="1901"/>
    <cellStyle name="Percent 5" xfId="102"/>
    <cellStyle name="Percent 5 10" xfId="1902"/>
    <cellStyle name="Percent 5 11" xfId="1903"/>
    <cellStyle name="Percent 5 2" xfId="143"/>
    <cellStyle name="Percent 5 2 2" xfId="1904"/>
    <cellStyle name="Percent 5 2 2 2" xfId="1905"/>
    <cellStyle name="Percent 5 2 2 2 2" xfId="1906"/>
    <cellStyle name="Percent 5 2 2 3" xfId="1907"/>
    <cellStyle name="Percent 5 2 2 4" xfId="1908"/>
    <cellStyle name="Percent 5 2 3" xfId="1909"/>
    <cellStyle name="Percent 5 2 3 2" xfId="1910"/>
    <cellStyle name="Percent 5 2 4" xfId="1911"/>
    <cellStyle name="Percent 5 2 5" xfId="1912"/>
    <cellStyle name="Percent 5 3" xfId="1913"/>
    <cellStyle name="Percent 5 3 2" xfId="1914"/>
    <cellStyle name="Percent 5 3 2 2" xfId="1915"/>
    <cellStyle name="Percent 5 3 2 2 2" xfId="1916"/>
    <cellStyle name="Percent 5 3 2 3" xfId="1917"/>
    <cellStyle name="Percent 5 3 2 4" xfId="1918"/>
    <cellStyle name="Percent 5 3 3" xfId="1919"/>
    <cellStyle name="Percent 5 3 3 2" xfId="1920"/>
    <cellStyle name="Percent 5 3 4" xfId="1921"/>
    <cellStyle name="Percent 5 3 5" xfId="1922"/>
    <cellStyle name="Percent 5 4" xfId="1923"/>
    <cellStyle name="Percent 5 4 2" xfId="1924"/>
    <cellStyle name="Percent 5 4 2 2" xfId="1925"/>
    <cellStyle name="Percent 5 4 2 2 2" xfId="1926"/>
    <cellStyle name="Percent 5 4 2 3" xfId="1927"/>
    <cellStyle name="Percent 5 4 2 4" xfId="1928"/>
    <cellStyle name="Percent 5 4 3" xfId="1929"/>
    <cellStyle name="Percent 5 4 3 2" xfId="1930"/>
    <cellStyle name="Percent 5 4 4" xfId="1931"/>
    <cellStyle name="Percent 5 4 5" xfId="1932"/>
    <cellStyle name="Percent 5 5" xfId="1933"/>
    <cellStyle name="Percent 5 5 2" xfId="1934"/>
    <cellStyle name="Percent 5 5 2 2" xfId="1935"/>
    <cellStyle name="Percent 5 5 3" xfId="1936"/>
    <cellStyle name="Percent 5 5 4" xfId="1937"/>
    <cellStyle name="Percent 5 6" xfId="1938"/>
    <cellStyle name="Percent 5 7" xfId="1939"/>
    <cellStyle name="Percent 5 7 2" xfId="1940"/>
    <cellStyle name="Percent 5 7 2 2" xfId="1941"/>
    <cellStyle name="Percent 5 7 3" xfId="1942"/>
    <cellStyle name="Percent 5 7 4" xfId="1943"/>
    <cellStyle name="Percent 5 8" xfId="1944"/>
    <cellStyle name="Percent 5 8 2" xfId="1945"/>
    <cellStyle name="Percent 5 8 2 2" xfId="1946"/>
    <cellStyle name="Percent 5 8 3" xfId="1947"/>
    <cellStyle name="Percent 5 8 4" xfId="1948"/>
    <cellStyle name="Percent 5 9" xfId="1949"/>
    <cellStyle name="Percent 5 9 2" xfId="1950"/>
    <cellStyle name="Percent 50" xfId="1951"/>
    <cellStyle name="Percent 51" xfId="1952"/>
    <cellStyle name="Percent 52" xfId="1953"/>
    <cellStyle name="Percent 53" xfId="1954"/>
    <cellStyle name="Percent 54" xfId="1955"/>
    <cellStyle name="Percent 55" xfId="1956"/>
    <cellStyle name="Percent 56" xfId="1957"/>
    <cellStyle name="Percent 57" xfId="1958"/>
    <cellStyle name="Percent 58" xfId="1959"/>
    <cellStyle name="Percent 59" xfId="1960"/>
    <cellStyle name="Percent 6" xfId="1961"/>
    <cellStyle name="Percent 6 2" xfId="1962"/>
    <cellStyle name="Percent 6 2 2" xfId="1963"/>
    <cellStyle name="Percent 6 2 2 2" xfId="1964"/>
    <cellStyle name="Percent 6 2 3" xfId="1965"/>
    <cellStyle name="Percent 6 2 4" xfId="1966"/>
    <cellStyle name="Percent 6 3" xfId="1967"/>
    <cellStyle name="Percent 6 4" xfId="1968"/>
    <cellStyle name="Percent 6 4 2" xfId="1969"/>
    <cellStyle name="Percent 6 5" xfId="1970"/>
    <cellStyle name="Percent 6 6" xfId="1971"/>
    <cellStyle name="Percent 60" xfId="1972"/>
    <cellStyle name="Percent 61" xfId="1973"/>
    <cellStyle name="Percent 62" xfId="1974"/>
    <cellStyle name="Percent 63" xfId="1975"/>
    <cellStyle name="Percent 64" xfId="1976"/>
    <cellStyle name="Percent 65" xfId="1977"/>
    <cellStyle name="Percent 66" xfId="1978"/>
    <cellStyle name="Percent 67" xfId="1979"/>
    <cellStyle name="Percent 68" xfId="1980"/>
    <cellStyle name="Percent 69" xfId="1981"/>
    <cellStyle name="Percent 7" xfId="1982"/>
    <cellStyle name="Percent 7 2" xfId="1983"/>
    <cellStyle name="Percent 7 2 2" xfId="1984"/>
    <cellStyle name="Percent 7 2 2 2" xfId="1985"/>
    <cellStyle name="Percent 7 2 3" xfId="1986"/>
    <cellStyle name="Percent 7 3" xfId="1987"/>
    <cellStyle name="Percent 7 4" xfId="1988"/>
    <cellStyle name="Percent 7 4 2" xfId="1989"/>
    <cellStyle name="Percent 7 5" xfId="1990"/>
    <cellStyle name="Percent 7 6" xfId="1991"/>
    <cellStyle name="Percent 70" xfId="1992"/>
    <cellStyle name="Percent 71" xfId="1993"/>
    <cellStyle name="Percent 72" xfId="1994"/>
    <cellStyle name="Percent 73" xfId="1995"/>
    <cellStyle name="Percent 74" xfId="1996"/>
    <cellStyle name="Percent 75" xfId="1997"/>
    <cellStyle name="Percent 76" xfId="1998"/>
    <cellStyle name="Percent 76 2" xfId="1999"/>
    <cellStyle name="Percent 77" xfId="2000"/>
    <cellStyle name="Percent 77 2" xfId="2001"/>
    <cellStyle name="Percent 78" xfId="2002"/>
    <cellStyle name="Percent 78 2" xfId="2003"/>
    <cellStyle name="Percent 79" xfId="2004"/>
    <cellStyle name="Percent 79 2" xfId="2005"/>
    <cellStyle name="Percent 8" xfId="2006"/>
    <cellStyle name="Percent 8 2" xfId="2007"/>
    <cellStyle name="Percent 80" xfId="2008"/>
    <cellStyle name="Percent 81" xfId="2009"/>
    <cellStyle name="Percent 81 2" xfId="2010"/>
    <cellStyle name="Percent 82" xfId="2011"/>
    <cellStyle name="Percent 82 2" xfId="2012"/>
    <cellStyle name="Percent 83" xfId="2013"/>
    <cellStyle name="Percent 84" xfId="2014"/>
    <cellStyle name="Percent 85" xfId="2015"/>
    <cellStyle name="Percent 86" xfId="2016"/>
    <cellStyle name="Percent 87" xfId="2017"/>
    <cellStyle name="Percent 88" xfId="2018"/>
    <cellStyle name="Percent 89" xfId="2019"/>
    <cellStyle name="Percent 9" xfId="2020"/>
    <cellStyle name="Percent 9 2" xfId="2021"/>
    <cellStyle name="Percent 90" xfId="2022"/>
    <cellStyle name="Percent 91" xfId="2023"/>
    <cellStyle name="Percent 92" xfId="2024"/>
    <cellStyle name="Percent 93" xfId="2025"/>
    <cellStyle name="Percent 94" xfId="2026"/>
    <cellStyle name="Percent 95" xfId="2027"/>
    <cellStyle name="Percent 96" xfId="2028"/>
    <cellStyle name="Percent 97" xfId="2029"/>
    <cellStyle name="Percent 98" xfId="2030"/>
    <cellStyle name="Percent 99" xfId="2031"/>
    <cellStyle name="Percent Hard" xfId="2032"/>
    <cellStyle name="Percent.brdr" xfId="2033"/>
    <cellStyle name="Percent.brdr 2" xfId="2034"/>
    <cellStyle name="pert" xfId="2035"/>
    <cellStyle name="pf" xfId="2036"/>
    <cellStyle name="Pound" xfId="2037"/>
    <cellStyle name="Pound [1]" xfId="2038"/>
    <cellStyle name="Pound [2]" xfId="2039"/>
    <cellStyle name="pp" xfId="2040"/>
    <cellStyle name="ppp" xfId="2041"/>
    <cellStyle name="PrePop Currency (0)" xfId="2042"/>
    <cellStyle name="PrePop Currency (2)" xfId="2043"/>
    <cellStyle name="PrePop Units (0)" xfId="2044"/>
    <cellStyle name="PrePop Units (1)" xfId="2045"/>
    <cellStyle name="PrePop Units (2)" xfId="2046"/>
    <cellStyle name="PSChar" xfId="2047"/>
    <cellStyle name="PSDate" xfId="2048"/>
    <cellStyle name="PSDec" xfId="2049"/>
    <cellStyle name="PSHeading" xfId="2050"/>
    <cellStyle name="PSInt" xfId="2051"/>
    <cellStyle name="PSSpacer" xfId="2052"/>
    <cellStyle name="psum" xfId="2053"/>
    <cellStyle name="psum 2" xfId="2054"/>
    <cellStyle name="psumk" xfId="2055"/>
    <cellStyle name="ptit" xfId="2056"/>
    <cellStyle name="ptit 2" xfId="2057"/>
    <cellStyle name="Quarter #" xfId="123"/>
    <cellStyle name="Quarter # 2" xfId="2058"/>
    <cellStyle name="Quarter # 2 2" xfId="2059"/>
    <cellStyle name="Quarter # 2 2 2" xfId="2060"/>
    <cellStyle name="Quarter # 2 2 2 2" xfId="2061"/>
    <cellStyle name="Quarter # 2 2 3" xfId="2062"/>
    <cellStyle name="Quarter # 2 2 4" xfId="2063"/>
    <cellStyle name="Quarter # 2 3" xfId="2064"/>
    <cellStyle name="Quarter # 2 3 2" xfId="2065"/>
    <cellStyle name="Quarter # 2 4" xfId="2066"/>
    <cellStyle name="Quarter # 2 5" xfId="2067"/>
    <cellStyle name="Quarter # 3" xfId="2068"/>
    <cellStyle name="Quarter # 3 2" xfId="2069"/>
    <cellStyle name="Quarter # 3 2 2" xfId="2070"/>
    <cellStyle name="Quarter # 3 3" xfId="2071"/>
    <cellStyle name="Quarter # 3 4" xfId="2072"/>
    <cellStyle name="Quarter # 4" xfId="2073"/>
    <cellStyle name="Quarter # 4 2" xfId="2074"/>
    <cellStyle name="Quarter # 4 2 2" xfId="2075"/>
    <cellStyle name="Quarter # 4 3" xfId="2076"/>
    <cellStyle name="Quarter # 4 4" xfId="2077"/>
    <cellStyle name="Quarter # 5" xfId="2078"/>
    <cellStyle name="Quarter # 5 2" xfId="2079"/>
    <cellStyle name="Quarter # 5 2 2" xfId="2080"/>
    <cellStyle name="Quarter # 5 3" xfId="2081"/>
    <cellStyle name="Quarter # 5 4" xfId="2082"/>
    <cellStyle name="Quarter # 6" xfId="2083"/>
    <cellStyle name="Quarter # 6 2" xfId="2084"/>
    <cellStyle name="Quarter # 7" xfId="2085"/>
    <cellStyle name="Quarter # 8" xfId="2086"/>
    <cellStyle name="r" xfId="2087"/>
    <cellStyle name="Randy" xfId="2088"/>
    <cellStyle name="rat" xfId="2089"/>
    <cellStyle name="rat 2" xfId="2090"/>
    <cellStyle name="rat 3" xfId="2091"/>
    <cellStyle name="rate" xfId="2092"/>
    <cellStyle name="ratio" xfId="2093"/>
    <cellStyle name="Reg1" xfId="67"/>
    <cellStyle name="Reg2" xfId="68"/>
    <cellStyle name="Reg3" xfId="69"/>
    <cellStyle name="Reg4" xfId="70"/>
    <cellStyle name="Reg5" xfId="71"/>
    <cellStyle name="Reg6" xfId="72"/>
    <cellStyle name="Reg7" xfId="73"/>
    <cellStyle name="Reg8" xfId="74"/>
    <cellStyle name="Reg9" xfId="75"/>
    <cellStyle name="Region" xfId="2094"/>
    <cellStyle name="regional" xfId="2095"/>
    <cellStyle name="s" xfId="2096"/>
    <cellStyle name="s_1200 Brickell Trimont Model 2004_09_14" xfId="2097"/>
    <cellStyle name="s_Assumptions" xfId="2098"/>
    <cellStyle name="s_Assumptions_150 Charles Street model - 2007.12.20 - Valuation v4 Markup" xfId="2099"/>
    <cellStyle name="s_Assumptions_150 Charles Street model - 2008.01.31 - Reconciled" xfId="2100"/>
    <cellStyle name="s_Assumptions_Apartment Model" xfId="2101"/>
    <cellStyle name="s_Assumptions_Apartment Model 5.31.08v3" xfId="2102"/>
    <cellStyle name="s_Assumptions_Charles St Model - 2008.09.30" xfId="2103"/>
    <cellStyle name="s_Assumptions_Ridge Asset Managment Model 5.31.08v3" xfId="2104"/>
    <cellStyle name="s_Assumptions_Ridge Asset Managment Model 7.31.08" xfId="2105"/>
    <cellStyle name="s_Assumptions_Ridge Asset Managment Model Q1 Valuations" xfId="2106"/>
    <cellStyle name="s_Assumptions_Ridge Asset Managment Model Q2 Valuation" xfId="2107"/>
    <cellStyle name="s_Assumptions_Sheraton Tampa AM Model 112805" xfId="2108"/>
    <cellStyle name="s_Assumptions_Sheraton Tampa AM Model 112805_150 Charles Street model - 2007.12.20 - Valuation v4 Markup" xfId="2109"/>
    <cellStyle name="s_Assumptions_Sheraton Tampa AM Model 112805_150 Charles Street model - 2008.01.31 - Reconciled" xfId="2110"/>
    <cellStyle name="s_Assumptions_Sheraton Tampa AM Model 112805_Apartment Model" xfId="2111"/>
    <cellStyle name="s_Assumptions_Sheraton Tampa AM Model 112805_Apartment Model 5.31.08v3" xfId="2112"/>
    <cellStyle name="s_Assumptions_Sheraton Tampa AM Model 112805_Charles St Model - 2008.09.30" xfId="2113"/>
    <cellStyle name="s_Assumptions_Sheraton Tampa AM Model 112805_Ridge Asset Managment Model 5.31.08v3" xfId="2114"/>
    <cellStyle name="s_Assumptions_Sheraton Tampa AM Model 112805_Ridge Asset Managment Model 7.31.08" xfId="2115"/>
    <cellStyle name="s_Assumptions_Sheraton Tampa AM Model 112805_Ridge Asset Managment Model Q1 Valuations" xfId="2116"/>
    <cellStyle name="s_Assumptions_Sheraton Tampa AM Model 112805_Ridge Asset Managment Model Q2 Valuation" xfId="2117"/>
    <cellStyle name="s_Assumptions_Sheraton Tampa AM Model 112805_Trimont Asset Management Model V1" xfId="2118"/>
    <cellStyle name="s_Assumptions_Sheraton Tampa AM Model 112805_Trimont Asset Management Model V2" xfId="2119"/>
    <cellStyle name="s_Assumptions_Sheraton Tampa AM Model 112805_Valuation Summary New Format wCapRateSensitivity v5" xfId="2120"/>
    <cellStyle name="s_Assumptions_Sheraton Tampa AM Model 112805_Valuation Template Non Operaating Deal 06.12.08" xfId="2121"/>
    <cellStyle name="s_Assumptions_Sheraton Tampa AM Model 112805_Valuation Template Operating Deal 06.10.08" xfId="2122"/>
    <cellStyle name="s_Assumptions_SOSJ AM Model (w 06 Budget &amp; refi) 2-16-06" xfId="2123"/>
    <cellStyle name="s_Assumptions_Trimont Asset Management Model V1" xfId="2124"/>
    <cellStyle name="s_Assumptions_Trimont Asset Management Model V2" xfId="2125"/>
    <cellStyle name="s_Assumptions_Valuation Summary New Format wCapRateSensitivity v5" xfId="2126"/>
    <cellStyle name="s_Assumptions_Valuation Template Non Operaating Deal 06.12.08" xfId="2127"/>
    <cellStyle name="s_Assumptions_Valuation Template Operating Deal 06.10.08" xfId="2128"/>
    <cellStyle name="s_B_S_Ratios _B" xfId="2129"/>
    <cellStyle name="s_B_S_Ratios _B_150 Charles Street model - 2007.12.20 - Valuation v4 Markup" xfId="2130"/>
    <cellStyle name="s_B_S_Ratios _B_150 Charles Street model - 2008.01.31 - Reconciled" xfId="2131"/>
    <cellStyle name="s_B_S_Ratios _B_Apartment Model" xfId="2132"/>
    <cellStyle name="s_B_S_Ratios _B_Apartment Model 5.31.08v3" xfId="2133"/>
    <cellStyle name="s_B_S_Ratios _B_Charles St Model - 2008.09.30" xfId="2134"/>
    <cellStyle name="s_B_S_Ratios _B_Ridge Asset Managment Model 5.31.08v3" xfId="2135"/>
    <cellStyle name="s_B_S_Ratios _B_Ridge Asset Managment Model 7.31.08" xfId="2136"/>
    <cellStyle name="s_B_S_Ratios _B_Ridge Asset Managment Model Q1 Valuations" xfId="2137"/>
    <cellStyle name="s_B_S_Ratios _B_Ridge Asset Managment Model Q2 Valuation" xfId="2138"/>
    <cellStyle name="s_B_S_Ratios _B_Sheraton Tampa AM Model 112805" xfId="2139"/>
    <cellStyle name="s_B_S_Ratios _B_Sheraton Tampa AM Model 112805_150 Charles Street model - 2007.12.20 - Valuation v4 Markup" xfId="2140"/>
    <cellStyle name="s_B_S_Ratios _B_Sheraton Tampa AM Model 112805_150 Charles Street model - 2008.01.31 - Reconciled" xfId="2141"/>
    <cellStyle name="s_B_S_Ratios _B_Sheraton Tampa AM Model 112805_Apartment Model" xfId="2142"/>
    <cellStyle name="s_B_S_Ratios _B_Sheraton Tampa AM Model 112805_Apartment Model 5.31.08v3" xfId="2143"/>
    <cellStyle name="s_B_S_Ratios _B_Sheraton Tampa AM Model 112805_Charles St Model - 2008.09.30" xfId="2144"/>
    <cellStyle name="s_B_S_Ratios _B_Sheraton Tampa AM Model 112805_Ridge Asset Managment Model 5.31.08v3" xfId="2145"/>
    <cellStyle name="s_B_S_Ratios _B_Sheraton Tampa AM Model 112805_Ridge Asset Managment Model 7.31.08" xfId="2146"/>
    <cellStyle name="s_B_S_Ratios _B_Sheraton Tampa AM Model 112805_Ridge Asset Managment Model Q1 Valuations" xfId="2147"/>
    <cellStyle name="s_B_S_Ratios _B_Sheraton Tampa AM Model 112805_Ridge Asset Managment Model Q2 Valuation" xfId="2148"/>
    <cellStyle name="s_B_S_Ratios _B_Sheraton Tampa AM Model 112805_Trimont Asset Management Model V1" xfId="2149"/>
    <cellStyle name="s_B_S_Ratios _B_Sheraton Tampa AM Model 112805_Trimont Asset Management Model V2" xfId="2150"/>
    <cellStyle name="s_B_S_Ratios _B_Sheraton Tampa AM Model 112805_Valuation Summary New Format wCapRateSensitivity v5" xfId="2151"/>
    <cellStyle name="s_B_S_Ratios _B_Sheraton Tampa AM Model 112805_Valuation Template Non Operaating Deal 06.12.08" xfId="2152"/>
    <cellStyle name="s_B_S_Ratios _B_Sheraton Tampa AM Model 112805_Valuation Template Operating Deal 06.10.08" xfId="2153"/>
    <cellStyle name="s_B_S_Ratios _B_SOSJ AM Model (w 06 Budget &amp; refi) 2-16-06" xfId="2154"/>
    <cellStyle name="s_B_S_Ratios _B_Trimont Asset Management Model V1" xfId="2155"/>
    <cellStyle name="s_B_S_Ratios _B_Trimont Asset Management Model V2" xfId="2156"/>
    <cellStyle name="s_B_S_Ratios _B_Valuation Summary New Format wCapRateSensitivity v5" xfId="2157"/>
    <cellStyle name="s_B_S_Ratios _B_Valuation Template Non Operaating Deal 06.12.08" xfId="2158"/>
    <cellStyle name="s_B_S_Ratios _B_Valuation Template Operating Deal 06.10.08" xfId="2159"/>
    <cellStyle name="s_B_S_Ratios_T" xfId="2160"/>
    <cellStyle name="s_B_S_Ratios_T_150 Charles Street model - 2007.12.20 - Valuation v4 Markup" xfId="2161"/>
    <cellStyle name="s_B_S_Ratios_T_150 Charles Street model - 2008.01.31 - Reconciled" xfId="2162"/>
    <cellStyle name="s_B_S_Ratios_T_Apartment Model" xfId="2163"/>
    <cellStyle name="s_B_S_Ratios_T_Apartment Model 5.31.08v3" xfId="2164"/>
    <cellStyle name="s_B_S_Ratios_T_Charles St Model - 2008.09.30" xfId="2165"/>
    <cellStyle name="s_B_S_Ratios_T_Ridge Asset Managment Model 5.31.08v3" xfId="2166"/>
    <cellStyle name="s_B_S_Ratios_T_Ridge Asset Managment Model 7.31.08" xfId="2167"/>
    <cellStyle name="s_B_S_Ratios_T_Ridge Asset Managment Model Q1 Valuations" xfId="2168"/>
    <cellStyle name="s_B_S_Ratios_T_Ridge Asset Managment Model Q2 Valuation" xfId="2169"/>
    <cellStyle name="s_B_S_Ratios_T_Sheraton Tampa AM Model 112805" xfId="2170"/>
    <cellStyle name="s_B_S_Ratios_T_Sheraton Tampa AM Model 112805_150 Charles Street model - 2007.12.20 - Valuation v4 Markup" xfId="2171"/>
    <cellStyle name="s_B_S_Ratios_T_Sheraton Tampa AM Model 112805_150 Charles Street model - 2008.01.31 - Reconciled" xfId="2172"/>
    <cellStyle name="s_B_S_Ratios_T_Sheraton Tampa AM Model 112805_Apartment Model" xfId="2173"/>
    <cellStyle name="s_B_S_Ratios_T_Sheraton Tampa AM Model 112805_Apartment Model 5.31.08v3" xfId="2174"/>
    <cellStyle name="s_B_S_Ratios_T_Sheraton Tampa AM Model 112805_Charles St Model - 2008.09.30" xfId="2175"/>
    <cellStyle name="s_B_S_Ratios_T_Sheraton Tampa AM Model 112805_Ridge Asset Managment Model 5.31.08v3" xfId="2176"/>
    <cellStyle name="s_B_S_Ratios_T_Sheraton Tampa AM Model 112805_Ridge Asset Managment Model 7.31.08" xfId="2177"/>
    <cellStyle name="s_B_S_Ratios_T_Sheraton Tampa AM Model 112805_Ridge Asset Managment Model Q1 Valuations" xfId="2178"/>
    <cellStyle name="s_B_S_Ratios_T_Sheraton Tampa AM Model 112805_Ridge Asset Managment Model Q2 Valuation" xfId="2179"/>
    <cellStyle name="s_B_S_Ratios_T_Sheraton Tampa AM Model 112805_Trimont Asset Management Model V1" xfId="2180"/>
    <cellStyle name="s_B_S_Ratios_T_Sheraton Tampa AM Model 112805_Trimont Asset Management Model V2" xfId="2181"/>
    <cellStyle name="s_B_S_Ratios_T_Sheraton Tampa AM Model 112805_Valuation Summary New Format wCapRateSensitivity v5" xfId="2182"/>
    <cellStyle name="s_B_S_Ratios_T_Sheraton Tampa AM Model 112805_Valuation Template Non Operaating Deal 06.12.08" xfId="2183"/>
    <cellStyle name="s_B_S_Ratios_T_Sheraton Tampa AM Model 112805_Valuation Template Operating Deal 06.10.08" xfId="2184"/>
    <cellStyle name="s_B_S_Ratios_T_SOSJ AM Model (w 06 Budget &amp; refi) 2-16-06" xfId="2185"/>
    <cellStyle name="s_B_S_Ratios_T_Trimont Asset Management Model V1" xfId="2186"/>
    <cellStyle name="s_B_S_Ratios_T_Trimont Asset Management Model V2" xfId="2187"/>
    <cellStyle name="s_B_S_Ratios_T_Valuation Summary New Format wCapRateSensitivity v5" xfId="2188"/>
    <cellStyle name="s_B_S_Ratios_T_Valuation Template Non Operaating Deal 06.12.08" xfId="2189"/>
    <cellStyle name="s_B_S_Ratios_T_Valuation Template Operating Deal 06.10.08" xfId="2190"/>
    <cellStyle name="s_DCFLBO Code" xfId="2191"/>
    <cellStyle name="s_DCFLBO Code_1" xfId="2192"/>
    <cellStyle name="s_DCFLBO Code_1_150 Charles Street model - 2007.12.20 - Valuation v4 Markup" xfId="2193"/>
    <cellStyle name="s_DCFLBO Code_1_150 Charles Street model - 2008.01.31 - Reconciled" xfId="2194"/>
    <cellStyle name="s_DCFLBO Code_1_Apartment Model" xfId="2195"/>
    <cellStyle name="s_DCFLBO Code_1_Apartment Model 5.31.08v3" xfId="2196"/>
    <cellStyle name="s_DCFLBO Code_1_Charles St Model - 2008.09.30" xfId="2197"/>
    <cellStyle name="s_DCFLBO Code_1_Ridge Asset Managment Model 5.31.08v3" xfId="2198"/>
    <cellStyle name="s_DCFLBO Code_1_Ridge Asset Managment Model 7.31.08" xfId="2199"/>
    <cellStyle name="s_DCFLBO Code_1_Ridge Asset Managment Model Q1 Valuations" xfId="2200"/>
    <cellStyle name="s_DCFLBO Code_1_Ridge Asset Managment Model Q2 Valuation" xfId="2201"/>
    <cellStyle name="s_DCFLBO Code_1_Sheraton Tampa AM Model 112805" xfId="2202"/>
    <cellStyle name="s_DCFLBO Code_1_Sheraton Tampa AM Model 112805_150 Charles Street model - 2007.12.20 - Valuation v4 Markup" xfId="2203"/>
    <cellStyle name="s_DCFLBO Code_1_Sheraton Tampa AM Model 112805_150 Charles Street model - 2008.01.31 - Reconciled" xfId="2204"/>
    <cellStyle name="s_DCFLBO Code_1_Sheraton Tampa AM Model 112805_Apartment Model" xfId="2205"/>
    <cellStyle name="s_DCFLBO Code_1_Sheraton Tampa AM Model 112805_Apartment Model 5.31.08v3" xfId="2206"/>
    <cellStyle name="s_DCFLBO Code_1_Sheraton Tampa AM Model 112805_Charles St Model - 2008.09.30" xfId="2207"/>
    <cellStyle name="s_DCFLBO Code_1_Sheraton Tampa AM Model 112805_Ridge Asset Managment Model 5.31.08v3" xfId="2208"/>
    <cellStyle name="s_DCFLBO Code_1_Sheraton Tampa AM Model 112805_Ridge Asset Managment Model 7.31.08" xfId="2209"/>
    <cellStyle name="s_DCFLBO Code_1_Sheraton Tampa AM Model 112805_Ridge Asset Managment Model Q1 Valuations" xfId="2210"/>
    <cellStyle name="s_DCFLBO Code_1_Sheraton Tampa AM Model 112805_Ridge Asset Managment Model Q2 Valuation" xfId="2211"/>
    <cellStyle name="s_DCFLBO Code_1_Sheraton Tampa AM Model 112805_Trimont Asset Management Model V1" xfId="2212"/>
    <cellStyle name="s_DCFLBO Code_1_Sheraton Tampa AM Model 112805_Trimont Asset Management Model V2" xfId="2213"/>
    <cellStyle name="s_DCFLBO Code_1_Sheraton Tampa AM Model 112805_Valuation Summary New Format wCapRateSensitivity v5" xfId="2214"/>
    <cellStyle name="s_DCFLBO Code_1_Sheraton Tampa AM Model 112805_Valuation Template Non Operaating Deal 06.12.08" xfId="2215"/>
    <cellStyle name="s_DCFLBO Code_1_Sheraton Tampa AM Model 112805_Valuation Template Operating Deal 06.10.08" xfId="2216"/>
    <cellStyle name="s_DCFLBO Code_1_SOSJ AM Model (w 06 Budget &amp; refi) 2-16-06" xfId="2217"/>
    <cellStyle name="s_DCFLBO Code_1_Trimont Asset Management Model V1" xfId="2218"/>
    <cellStyle name="s_DCFLBO Code_1_Trimont Asset Management Model V2" xfId="2219"/>
    <cellStyle name="s_DCFLBO Code_1_Valuation Summary New Format wCapRateSensitivity v5" xfId="2220"/>
    <cellStyle name="s_DCFLBO Code_1_Valuation Template Non Operaating Deal 06.12.08" xfId="2221"/>
    <cellStyle name="s_DCFLBO Code_1_Valuation Template Operating Deal 06.10.08" xfId="2222"/>
    <cellStyle name="s_DCFLBO Code_150 Charles Street model - 2007.12.20 - Valuation v4 Markup" xfId="2223"/>
    <cellStyle name="s_DCFLBO Code_150 Charles Street model - 2008.01.31 - Reconciled" xfId="2224"/>
    <cellStyle name="s_DCFLBO Code_Apartment Model" xfId="2225"/>
    <cellStyle name="s_DCFLBO Code_Apartment Model 5.31.08v3" xfId="2226"/>
    <cellStyle name="s_DCFLBO Code_Charles St Model - 2008.09.30" xfId="2227"/>
    <cellStyle name="s_DCFLBO Code_Ridge Asset Managment Model 5.31.08v3" xfId="2228"/>
    <cellStyle name="s_DCFLBO Code_Ridge Asset Managment Model 7.31.08" xfId="2229"/>
    <cellStyle name="s_DCFLBO Code_Ridge Asset Managment Model Q1 Valuations" xfId="2230"/>
    <cellStyle name="s_DCFLBO Code_Ridge Asset Managment Model Q2 Valuation" xfId="2231"/>
    <cellStyle name="s_DCFLBO Code_Sheraton Tampa AM Model 112805" xfId="2232"/>
    <cellStyle name="s_DCFLBO Code_Sheraton Tampa AM Model 112805_150 Charles Street model - 2007.12.20 - Valuation v4 Markup" xfId="2233"/>
    <cellStyle name="s_DCFLBO Code_Sheraton Tampa AM Model 112805_150 Charles Street model - 2008.01.31 - Reconciled" xfId="2234"/>
    <cellStyle name="s_DCFLBO Code_Sheraton Tampa AM Model 112805_Apartment Model" xfId="2235"/>
    <cellStyle name="s_DCFLBO Code_Sheraton Tampa AM Model 112805_Apartment Model 5.31.08v3" xfId="2236"/>
    <cellStyle name="s_DCFLBO Code_Sheraton Tampa AM Model 112805_Charles St Model - 2008.09.30" xfId="2237"/>
    <cellStyle name="s_DCFLBO Code_Sheraton Tampa AM Model 112805_Ridge Asset Managment Model 5.31.08v3" xfId="2238"/>
    <cellStyle name="s_DCFLBO Code_Sheraton Tampa AM Model 112805_Ridge Asset Managment Model 7.31.08" xfId="2239"/>
    <cellStyle name="s_DCFLBO Code_Sheraton Tampa AM Model 112805_Ridge Asset Managment Model Q1 Valuations" xfId="2240"/>
    <cellStyle name="s_DCFLBO Code_Sheraton Tampa AM Model 112805_Ridge Asset Managment Model Q2 Valuation" xfId="2241"/>
    <cellStyle name="s_DCFLBO Code_Sheraton Tampa AM Model 112805_Trimont Asset Management Model V1" xfId="2242"/>
    <cellStyle name="s_DCFLBO Code_Sheraton Tampa AM Model 112805_Trimont Asset Management Model V2" xfId="2243"/>
    <cellStyle name="s_DCFLBO Code_Sheraton Tampa AM Model 112805_Valuation Summary New Format wCapRateSensitivity v5" xfId="2244"/>
    <cellStyle name="s_DCFLBO Code_Sheraton Tampa AM Model 112805_Valuation Template Non Operaating Deal 06.12.08" xfId="2245"/>
    <cellStyle name="s_DCFLBO Code_Sheraton Tampa AM Model 112805_Valuation Template Operating Deal 06.10.08" xfId="2246"/>
    <cellStyle name="s_DCFLBO Code_SOSJ AM Model (w 06 Budget &amp; refi) 2-16-06" xfId="2247"/>
    <cellStyle name="s_DCFLBO Code_Trimont Asset Management Model V1" xfId="2248"/>
    <cellStyle name="s_DCFLBO Code_Trimont Asset Management Model V2" xfId="2249"/>
    <cellStyle name="s_DCFLBO Code_Valuation Summary New Format wCapRateSensitivity v5" xfId="2250"/>
    <cellStyle name="s_DCFLBO Code_Valuation Template Non Operaating Deal 06.12.08" xfId="2251"/>
    <cellStyle name="s_DCFLBO Code_Valuation Template Operating Deal 06.10.08" xfId="2252"/>
    <cellStyle name="s_Dilution" xfId="2253"/>
    <cellStyle name="s_Dilution_150 Charles Street model - 2007.12.20 - Valuation v4 Markup" xfId="2254"/>
    <cellStyle name="s_Dilution_150 Charles Street model - 2008.01.31 - Reconciled" xfId="2255"/>
    <cellStyle name="s_Dilution_Apartment Model" xfId="2256"/>
    <cellStyle name="s_Dilution_Apartment Model 5.31.08v3" xfId="2257"/>
    <cellStyle name="s_Dilution_Charles St Model - 2008.09.30" xfId="2258"/>
    <cellStyle name="s_Dilution_Ridge Asset Managment Model 5.31.08v3" xfId="2259"/>
    <cellStyle name="s_Dilution_Ridge Asset Managment Model 7.31.08" xfId="2260"/>
    <cellStyle name="s_Dilution_Ridge Asset Managment Model Q1 Valuations" xfId="2261"/>
    <cellStyle name="s_Dilution_Ridge Asset Managment Model Q2 Valuation" xfId="2262"/>
    <cellStyle name="s_Dilution_Sheraton Tampa AM Model 112805" xfId="2263"/>
    <cellStyle name="s_Dilution_Sheraton Tampa AM Model 112805_150 Charles Street model - 2007.12.20 - Valuation v4 Markup" xfId="2264"/>
    <cellStyle name="s_Dilution_Sheraton Tampa AM Model 112805_150 Charles Street model - 2008.01.31 - Reconciled" xfId="2265"/>
    <cellStyle name="s_Dilution_Sheraton Tampa AM Model 112805_Apartment Model" xfId="2266"/>
    <cellStyle name="s_Dilution_Sheraton Tampa AM Model 112805_Apartment Model 5.31.08v3" xfId="2267"/>
    <cellStyle name="s_Dilution_Sheraton Tampa AM Model 112805_Charles St Model - 2008.09.30" xfId="2268"/>
    <cellStyle name="s_Dilution_Sheraton Tampa AM Model 112805_Ridge Asset Managment Model 5.31.08v3" xfId="2269"/>
    <cellStyle name="s_Dilution_Sheraton Tampa AM Model 112805_Ridge Asset Managment Model 7.31.08" xfId="2270"/>
    <cellStyle name="s_Dilution_Sheraton Tampa AM Model 112805_Ridge Asset Managment Model Q1 Valuations" xfId="2271"/>
    <cellStyle name="s_Dilution_Sheraton Tampa AM Model 112805_Ridge Asset Managment Model Q2 Valuation" xfId="2272"/>
    <cellStyle name="s_Dilution_Sheraton Tampa AM Model 112805_Trimont Asset Management Model V1" xfId="2273"/>
    <cellStyle name="s_Dilution_Sheraton Tampa AM Model 112805_Trimont Asset Management Model V2" xfId="2274"/>
    <cellStyle name="s_Dilution_Sheraton Tampa AM Model 112805_Valuation Summary New Format wCapRateSensitivity v5" xfId="2275"/>
    <cellStyle name="s_Dilution_Sheraton Tampa AM Model 112805_Valuation Template Non Operaating Deal 06.12.08" xfId="2276"/>
    <cellStyle name="s_Dilution_Sheraton Tampa AM Model 112805_Valuation Template Operating Deal 06.10.08" xfId="2277"/>
    <cellStyle name="s_Dilution_SOSJ AM Model (w 06 Budget &amp; refi) 2-16-06" xfId="2278"/>
    <cellStyle name="s_Dilution_Trimont Asset Management Model V1" xfId="2279"/>
    <cellStyle name="s_Dilution_Trimont Asset Management Model V2" xfId="2280"/>
    <cellStyle name="s_Dilution_Valuation Summary New Format wCapRateSensitivity v5" xfId="2281"/>
    <cellStyle name="s_Dilution_Valuation Template Non Operaating Deal 06.12.08" xfId="2282"/>
    <cellStyle name="s_Dilution_Valuation Template Operating Deal 06.10.08" xfId="2283"/>
    <cellStyle name="s_Downey Charts" xfId="2284"/>
    <cellStyle name="s_Downey Charts_150 Charles Street model - 2007.12.20 - Valuation v4 Markup" xfId="2285"/>
    <cellStyle name="s_Downey Charts_150 Charles Street model - 2008.01.31 - Reconciled" xfId="2286"/>
    <cellStyle name="s_Downey Charts_Apartment Model" xfId="2287"/>
    <cellStyle name="s_Downey Charts_Apartment Model 5.31.08v3" xfId="2288"/>
    <cellStyle name="s_Downey Charts_Charles St Model - 2008.09.30" xfId="2289"/>
    <cellStyle name="s_Downey Charts_Ridge Asset Managment Model 5.31.08v3" xfId="2290"/>
    <cellStyle name="s_Downey Charts_Ridge Asset Managment Model 7.31.08" xfId="2291"/>
    <cellStyle name="s_Downey Charts_Ridge Asset Managment Model Q1 Valuations" xfId="2292"/>
    <cellStyle name="s_Downey Charts_Ridge Asset Managment Model Q2 Valuation" xfId="2293"/>
    <cellStyle name="s_Downey Charts_Sheraton Tampa AM Model 112805" xfId="2294"/>
    <cellStyle name="s_Downey Charts_Sheraton Tampa AM Model 112805_150 Charles Street model - 2007.12.20 - Valuation v4 Markup" xfId="2295"/>
    <cellStyle name="s_Downey Charts_Sheraton Tampa AM Model 112805_150 Charles Street model - 2008.01.31 - Reconciled" xfId="2296"/>
    <cellStyle name="s_Downey Charts_Sheraton Tampa AM Model 112805_Apartment Model" xfId="2297"/>
    <cellStyle name="s_Downey Charts_Sheraton Tampa AM Model 112805_Apartment Model 5.31.08v3" xfId="2298"/>
    <cellStyle name="s_Downey Charts_Sheraton Tampa AM Model 112805_Charles St Model - 2008.09.30" xfId="2299"/>
    <cellStyle name="s_Downey Charts_Sheraton Tampa AM Model 112805_Ridge Asset Managment Model 5.31.08v3" xfId="2300"/>
    <cellStyle name="s_Downey Charts_Sheraton Tampa AM Model 112805_Ridge Asset Managment Model 7.31.08" xfId="2301"/>
    <cellStyle name="s_Downey Charts_Sheraton Tampa AM Model 112805_Ridge Asset Managment Model Q1 Valuations" xfId="2302"/>
    <cellStyle name="s_Downey Charts_Sheraton Tampa AM Model 112805_Ridge Asset Managment Model Q2 Valuation" xfId="2303"/>
    <cellStyle name="s_Downey Charts_Sheraton Tampa AM Model 112805_Trimont Asset Management Model V1" xfId="2304"/>
    <cellStyle name="s_Downey Charts_Sheraton Tampa AM Model 112805_Trimont Asset Management Model V2" xfId="2305"/>
    <cellStyle name="s_Downey Charts_Sheraton Tampa AM Model 112805_Valuation Summary New Format wCapRateSensitivity v5" xfId="2306"/>
    <cellStyle name="s_Downey Charts_Sheraton Tampa AM Model 112805_Valuation Template Non Operaating Deal 06.12.08" xfId="2307"/>
    <cellStyle name="s_Downey Charts_Sheraton Tampa AM Model 112805_Valuation Template Operating Deal 06.10.08" xfId="2308"/>
    <cellStyle name="s_Downey Charts_SOSJ AM Model (w 06 Budget &amp; refi) 2-16-06" xfId="2309"/>
    <cellStyle name="s_Downey Charts_Trimont Asset Management Model V1" xfId="2310"/>
    <cellStyle name="s_Downey Charts_Trimont Asset Management Model V2" xfId="2311"/>
    <cellStyle name="s_Downey Charts_Valuation Summary New Format wCapRateSensitivity v5" xfId="2312"/>
    <cellStyle name="s_Downey Charts_Valuation Template Non Operaating Deal 06.12.08" xfId="2313"/>
    <cellStyle name="s_Downey Charts_Valuation Template Operating Deal 06.10.08" xfId="2314"/>
    <cellStyle name="s_Financials_B" xfId="2315"/>
    <cellStyle name="s_Financials_B_150 Charles Street model - 2007.12.20 - Valuation v4 Markup" xfId="2316"/>
    <cellStyle name="s_Financials_B_150 Charles Street model - 2008.01.31 - Reconciled" xfId="2317"/>
    <cellStyle name="s_Financials_B_Apartment Model" xfId="2318"/>
    <cellStyle name="s_Financials_B_Apartment Model 5.31.08v3" xfId="2319"/>
    <cellStyle name="s_Financials_B_Charles St Model - 2008.09.30" xfId="2320"/>
    <cellStyle name="s_Financials_B_Ridge Asset Managment Model 5.31.08v3" xfId="2321"/>
    <cellStyle name="s_Financials_B_Ridge Asset Managment Model 7.31.08" xfId="2322"/>
    <cellStyle name="s_Financials_B_Ridge Asset Managment Model Q1 Valuations" xfId="2323"/>
    <cellStyle name="s_Financials_B_Ridge Asset Managment Model Q2 Valuation" xfId="2324"/>
    <cellStyle name="s_Financials_B_Sheraton Tampa AM Model 112805" xfId="2325"/>
    <cellStyle name="s_Financials_B_Sheraton Tampa AM Model 112805_150 Charles Street model - 2007.12.20 - Valuation v4 Markup" xfId="2326"/>
    <cellStyle name="s_Financials_B_Sheraton Tampa AM Model 112805_150 Charles Street model - 2008.01.31 - Reconciled" xfId="2327"/>
    <cellStyle name="s_Financials_B_Sheraton Tampa AM Model 112805_Apartment Model" xfId="2328"/>
    <cellStyle name="s_Financials_B_Sheraton Tampa AM Model 112805_Apartment Model 5.31.08v3" xfId="2329"/>
    <cellStyle name="s_Financials_B_Sheraton Tampa AM Model 112805_Charles St Model - 2008.09.30" xfId="2330"/>
    <cellStyle name="s_Financials_B_Sheraton Tampa AM Model 112805_Ridge Asset Managment Model 5.31.08v3" xfId="2331"/>
    <cellStyle name="s_Financials_B_Sheraton Tampa AM Model 112805_Ridge Asset Managment Model 7.31.08" xfId="2332"/>
    <cellStyle name="s_Financials_B_Sheraton Tampa AM Model 112805_Ridge Asset Managment Model Q1 Valuations" xfId="2333"/>
    <cellStyle name="s_Financials_B_Sheraton Tampa AM Model 112805_Ridge Asset Managment Model Q2 Valuation" xfId="2334"/>
    <cellStyle name="s_Financials_B_Sheraton Tampa AM Model 112805_Trimont Asset Management Model V1" xfId="2335"/>
    <cellStyle name="s_Financials_B_Sheraton Tampa AM Model 112805_Trimont Asset Management Model V2" xfId="2336"/>
    <cellStyle name="s_Financials_B_Sheraton Tampa AM Model 112805_Valuation Summary New Format wCapRateSensitivity v5" xfId="2337"/>
    <cellStyle name="s_Financials_B_Sheraton Tampa AM Model 112805_Valuation Template Non Operaating Deal 06.12.08" xfId="2338"/>
    <cellStyle name="s_Financials_B_Sheraton Tampa AM Model 112805_Valuation Template Operating Deal 06.10.08" xfId="2339"/>
    <cellStyle name="s_Financials_B_SOSJ AM Model (w 06 Budget &amp; refi) 2-16-06" xfId="2340"/>
    <cellStyle name="s_Financials_B_Trimont Asset Management Model V1" xfId="2341"/>
    <cellStyle name="s_Financials_B_Trimont Asset Management Model V2" xfId="2342"/>
    <cellStyle name="s_Financials_B_Valuation Summary New Format wCapRateSensitivity v5" xfId="2343"/>
    <cellStyle name="s_Financials_B_Valuation Template Non Operaating Deal 06.12.08" xfId="2344"/>
    <cellStyle name="s_Financials_B_Valuation Template Operating Deal 06.10.08" xfId="2345"/>
    <cellStyle name="s_Financials_T" xfId="2346"/>
    <cellStyle name="s_Financials_T_150 Charles Street model - 2007.12.20 - Valuation v4 Markup" xfId="2347"/>
    <cellStyle name="s_Financials_T_150 Charles Street model - 2008.01.31 - Reconciled" xfId="2348"/>
    <cellStyle name="s_Financials_T_Apartment Model" xfId="2349"/>
    <cellStyle name="s_Financials_T_Apartment Model 5.31.08v3" xfId="2350"/>
    <cellStyle name="s_Financials_T_Charles St Model - 2008.09.30" xfId="2351"/>
    <cellStyle name="s_Financials_T_Ridge Asset Managment Model 5.31.08v3" xfId="2352"/>
    <cellStyle name="s_Financials_T_Ridge Asset Managment Model 7.31.08" xfId="2353"/>
    <cellStyle name="s_Financials_T_Ridge Asset Managment Model Q1 Valuations" xfId="2354"/>
    <cellStyle name="s_Financials_T_Ridge Asset Managment Model Q2 Valuation" xfId="2355"/>
    <cellStyle name="s_Financials_T_Sheraton Tampa AM Model 112805" xfId="2356"/>
    <cellStyle name="s_Financials_T_Sheraton Tampa AM Model 112805_150 Charles Street model - 2007.12.20 - Valuation v4 Markup" xfId="2357"/>
    <cellStyle name="s_Financials_T_Sheraton Tampa AM Model 112805_150 Charles Street model - 2008.01.31 - Reconciled" xfId="2358"/>
    <cellStyle name="s_Financials_T_Sheraton Tampa AM Model 112805_Apartment Model" xfId="2359"/>
    <cellStyle name="s_Financials_T_Sheraton Tampa AM Model 112805_Apartment Model 5.31.08v3" xfId="2360"/>
    <cellStyle name="s_Financials_T_Sheraton Tampa AM Model 112805_Charles St Model - 2008.09.30" xfId="2361"/>
    <cellStyle name="s_Financials_T_Sheraton Tampa AM Model 112805_Ridge Asset Managment Model 5.31.08v3" xfId="2362"/>
    <cellStyle name="s_Financials_T_Sheraton Tampa AM Model 112805_Ridge Asset Managment Model 7.31.08" xfId="2363"/>
    <cellStyle name="s_Financials_T_Sheraton Tampa AM Model 112805_Ridge Asset Managment Model Q1 Valuations" xfId="2364"/>
    <cellStyle name="s_Financials_T_Sheraton Tampa AM Model 112805_Ridge Asset Managment Model Q2 Valuation" xfId="2365"/>
    <cellStyle name="s_Financials_T_Sheraton Tampa AM Model 112805_Trimont Asset Management Model V1" xfId="2366"/>
    <cellStyle name="s_Financials_T_Sheraton Tampa AM Model 112805_Trimont Asset Management Model V2" xfId="2367"/>
    <cellStyle name="s_Financials_T_Sheraton Tampa AM Model 112805_Valuation Summary New Format wCapRateSensitivity v5" xfId="2368"/>
    <cellStyle name="s_Financials_T_Sheraton Tampa AM Model 112805_Valuation Template Non Operaating Deal 06.12.08" xfId="2369"/>
    <cellStyle name="s_Financials_T_Sheraton Tampa AM Model 112805_Valuation Template Operating Deal 06.10.08" xfId="2370"/>
    <cellStyle name="s_Financials_T_SOSJ AM Model (w 06 Budget &amp; refi) 2-16-06" xfId="2371"/>
    <cellStyle name="s_Financials_T_Trimont Asset Management Model V1" xfId="2372"/>
    <cellStyle name="s_Financials_T_Trimont Asset Management Model V2" xfId="2373"/>
    <cellStyle name="s_Financials_T_Valuation Summary New Format wCapRateSensitivity v5" xfId="2374"/>
    <cellStyle name="s_Financials_T_Valuation Template Non Operaating Deal 06.12.08" xfId="2375"/>
    <cellStyle name="s_Financials_T_Valuation Template Operating Deal 06.10.08" xfId="2376"/>
    <cellStyle name="s_Grouse+Pelican" xfId="2377"/>
    <cellStyle name="s_Macros" xfId="2378"/>
    <cellStyle name="s_Macros (2)" xfId="2379"/>
    <cellStyle name="s_Macros (2) 2" xfId="2380"/>
    <cellStyle name="s_Macros 2" xfId="2381"/>
    <cellStyle name="s_Macros 3" xfId="2382"/>
    <cellStyle name="s_Manager (2)" xfId="2383"/>
    <cellStyle name="s_Manager (2) 2" xfId="2384"/>
    <cellStyle name="s_Matrix_B" xfId="2385"/>
    <cellStyle name="s_Matrix_B_150 Charles Street model - 2007.12.20 - Valuation v4 Markup" xfId="2386"/>
    <cellStyle name="s_Matrix_B_150 Charles Street model - 2008.01.31 - Reconciled" xfId="2387"/>
    <cellStyle name="s_Matrix_B_Apartment Model" xfId="2388"/>
    <cellStyle name="s_Matrix_B_Apartment Model 5.31.08v3" xfId="2389"/>
    <cellStyle name="s_Matrix_B_Charles St Model - 2008.09.30" xfId="2390"/>
    <cellStyle name="s_Matrix_B_Ridge Asset Managment Model 5.31.08v3" xfId="2391"/>
    <cellStyle name="s_Matrix_B_Ridge Asset Managment Model 7.31.08" xfId="2392"/>
    <cellStyle name="s_Matrix_B_Ridge Asset Managment Model Q1 Valuations" xfId="2393"/>
    <cellStyle name="s_Matrix_B_Ridge Asset Managment Model Q2 Valuation" xfId="2394"/>
    <cellStyle name="s_Matrix_B_Sheraton Tampa AM Model 112805" xfId="2395"/>
    <cellStyle name="s_Matrix_B_Sheraton Tampa AM Model 112805_150 Charles Street model - 2007.12.20 - Valuation v4 Markup" xfId="2396"/>
    <cellStyle name="s_Matrix_B_Sheraton Tampa AM Model 112805_150 Charles Street model - 2008.01.31 - Reconciled" xfId="2397"/>
    <cellStyle name="s_Matrix_B_Sheraton Tampa AM Model 112805_Apartment Model" xfId="2398"/>
    <cellStyle name="s_Matrix_B_Sheraton Tampa AM Model 112805_Apartment Model 5.31.08v3" xfId="2399"/>
    <cellStyle name="s_Matrix_B_Sheraton Tampa AM Model 112805_Charles St Model - 2008.09.30" xfId="2400"/>
    <cellStyle name="s_Matrix_B_Sheraton Tampa AM Model 112805_Ridge Asset Managment Model 5.31.08v3" xfId="2401"/>
    <cellStyle name="s_Matrix_B_Sheraton Tampa AM Model 112805_Ridge Asset Managment Model 7.31.08" xfId="2402"/>
    <cellStyle name="s_Matrix_B_Sheraton Tampa AM Model 112805_Ridge Asset Managment Model Q1 Valuations" xfId="2403"/>
    <cellStyle name="s_Matrix_B_Sheraton Tampa AM Model 112805_Ridge Asset Managment Model Q2 Valuation" xfId="2404"/>
    <cellStyle name="s_Matrix_B_Sheraton Tampa AM Model 112805_Trimont Asset Management Model V1" xfId="2405"/>
    <cellStyle name="s_Matrix_B_Sheraton Tampa AM Model 112805_Trimont Asset Management Model V2" xfId="2406"/>
    <cellStyle name="s_Matrix_B_Sheraton Tampa AM Model 112805_Valuation Summary New Format wCapRateSensitivity v5" xfId="2407"/>
    <cellStyle name="s_Matrix_B_Sheraton Tampa AM Model 112805_Valuation Template Non Operaating Deal 06.12.08" xfId="2408"/>
    <cellStyle name="s_Matrix_B_Sheraton Tampa AM Model 112805_Valuation Template Operating Deal 06.10.08" xfId="2409"/>
    <cellStyle name="s_Matrix_B_SOSJ AM Model (w 06 Budget &amp; refi) 2-16-06" xfId="2410"/>
    <cellStyle name="s_Matrix_B_Trimont Asset Management Model V1" xfId="2411"/>
    <cellStyle name="s_Matrix_B_Trimont Asset Management Model V2" xfId="2412"/>
    <cellStyle name="s_Matrix_B_Valuation Summary New Format wCapRateSensitivity v5" xfId="2413"/>
    <cellStyle name="s_Matrix_B_Valuation Template Non Operaating Deal 06.12.08" xfId="2414"/>
    <cellStyle name="s_Matrix_B_Valuation Template Operating Deal 06.10.08" xfId="2415"/>
    <cellStyle name="s_Matrix_T" xfId="2416"/>
    <cellStyle name="s_Matrix_T_150 Charles Street model - 2007.12.20 - Valuation v4 Markup" xfId="2417"/>
    <cellStyle name="s_Matrix_T_150 Charles Street model - 2008.01.31 - Reconciled" xfId="2418"/>
    <cellStyle name="s_Matrix_T_Apartment Model" xfId="2419"/>
    <cellStyle name="s_Matrix_T_Apartment Model 5.31.08v3" xfId="2420"/>
    <cellStyle name="s_Matrix_T_Charles St Model - 2008.09.30" xfId="2421"/>
    <cellStyle name="s_Matrix_T_Ridge Asset Managment Model 5.31.08v3" xfId="2422"/>
    <cellStyle name="s_Matrix_T_Ridge Asset Managment Model 7.31.08" xfId="2423"/>
    <cellStyle name="s_Matrix_T_Ridge Asset Managment Model Q1 Valuations" xfId="2424"/>
    <cellStyle name="s_Matrix_T_Ridge Asset Managment Model Q2 Valuation" xfId="2425"/>
    <cellStyle name="s_Matrix_T_Sheraton Tampa AM Model 112805" xfId="2426"/>
    <cellStyle name="s_Matrix_T_Sheraton Tampa AM Model 112805_150 Charles Street model - 2007.12.20 - Valuation v4 Markup" xfId="2427"/>
    <cellStyle name="s_Matrix_T_Sheraton Tampa AM Model 112805_150 Charles Street model - 2008.01.31 - Reconciled" xfId="2428"/>
    <cellStyle name="s_Matrix_T_Sheraton Tampa AM Model 112805_Apartment Model" xfId="2429"/>
    <cellStyle name="s_Matrix_T_Sheraton Tampa AM Model 112805_Apartment Model 5.31.08v3" xfId="2430"/>
    <cellStyle name="s_Matrix_T_Sheraton Tampa AM Model 112805_Charles St Model - 2008.09.30" xfId="2431"/>
    <cellStyle name="s_Matrix_T_Sheraton Tampa AM Model 112805_Ridge Asset Managment Model 5.31.08v3" xfId="2432"/>
    <cellStyle name="s_Matrix_T_Sheraton Tampa AM Model 112805_Ridge Asset Managment Model 7.31.08" xfId="2433"/>
    <cellStyle name="s_Matrix_T_Sheraton Tampa AM Model 112805_Ridge Asset Managment Model Q1 Valuations" xfId="2434"/>
    <cellStyle name="s_Matrix_T_Sheraton Tampa AM Model 112805_Ridge Asset Managment Model Q2 Valuation" xfId="2435"/>
    <cellStyle name="s_Matrix_T_Sheraton Tampa AM Model 112805_Trimont Asset Management Model V1" xfId="2436"/>
    <cellStyle name="s_Matrix_T_Sheraton Tampa AM Model 112805_Trimont Asset Management Model V2" xfId="2437"/>
    <cellStyle name="s_Matrix_T_Sheraton Tampa AM Model 112805_Valuation Summary New Format wCapRateSensitivity v5" xfId="2438"/>
    <cellStyle name="s_Matrix_T_Sheraton Tampa AM Model 112805_Valuation Template Non Operaating Deal 06.12.08" xfId="2439"/>
    <cellStyle name="s_Matrix_T_Sheraton Tampa AM Model 112805_Valuation Template Operating Deal 06.10.08" xfId="2440"/>
    <cellStyle name="s_Matrix_T_SOSJ AM Model (w 06 Budget &amp; refi) 2-16-06" xfId="2441"/>
    <cellStyle name="s_Matrix_T_Trimont Asset Management Model V1" xfId="2442"/>
    <cellStyle name="s_Matrix_T_Trimont Asset Management Model V2" xfId="2443"/>
    <cellStyle name="s_Matrix_T_Valuation Summary New Format wCapRateSensitivity v5" xfId="2444"/>
    <cellStyle name="s_Matrix_T_Valuation Template Non Operaating Deal 06.12.08" xfId="2445"/>
    <cellStyle name="s_Matrix_T_Valuation Template Operating Deal 06.10.08" xfId="2446"/>
    <cellStyle name="s_Merger" xfId="2447"/>
    <cellStyle name="s_Merger_150 Charles Street model - 2007.12.20 - Valuation v4 Markup" xfId="2448"/>
    <cellStyle name="s_Merger_150 Charles Street model - 2008.01.31 - Reconciled" xfId="2449"/>
    <cellStyle name="s_Merger_Apartment Model" xfId="2450"/>
    <cellStyle name="s_Merger_Apartment Model 5.31.08v3" xfId="2451"/>
    <cellStyle name="s_Merger_Charles St Model - 2008.09.30" xfId="2452"/>
    <cellStyle name="s_Merger_Ridge Asset Managment Model 5.31.08v3" xfId="2453"/>
    <cellStyle name="s_Merger_Ridge Asset Managment Model 7.31.08" xfId="2454"/>
    <cellStyle name="s_Merger_Ridge Asset Managment Model Q1 Valuations" xfId="2455"/>
    <cellStyle name="s_Merger_Ridge Asset Managment Model Q2 Valuation" xfId="2456"/>
    <cellStyle name="s_Merger_Sheraton Tampa AM Model 112805" xfId="2457"/>
    <cellStyle name="s_Merger_Sheraton Tampa AM Model 112805_150 Charles Street model - 2007.12.20 - Valuation v4 Markup" xfId="2458"/>
    <cellStyle name="s_Merger_Sheraton Tampa AM Model 112805_150 Charles Street model - 2008.01.31 - Reconciled" xfId="2459"/>
    <cellStyle name="s_Merger_Sheraton Tampa AM Model 112805_Apartment Model" xfId="2460"/>
    <cellStyle name="s_Merger_Sheraton Tampa AM Model 112805_Apartment Model 5.31.08v3" xfId="2461"/>
    <cellStyle name="s_Merger_Sheraton Tampa AM Model 112805_Charles St Model - 2008.09.30" xfId="2462"/>
    <cellStyle name="s_Merger_Sheraton Tampa AM Model 112805_Ridge Asset Managment Model 5.31.08v3" xfId="2463"/>
    <cellStyle name="s_Merger_Sheraton Tampa AM Model 112805_Ridge Asset Managment Model 7.31.08" xfId="2464"/>
    <cellStyle name="s_Merger_Sheraton Tampa AM Model 112805_Ridge Asset Managment Model Q1 Valuations" xfId="2465"/>
    <cellStyle name="s_Merger_Sheraton Tampa AM Model 112805_Ridge Asset Managment Model Q2 Valuation" xfId="2466"/>
    <cellStyle name="s_Merger_Sheraton Tampa AM Model 112805_Trimont Asset Management Model V1" xfId="2467"/>
    <cellStyle name="s_Merger_Sheraton Tampa AM Model 112805_Trimont Asset Management Model V2" xfId="2468"/>
    <cellStyle name="s_Merger_Sheraton Tampa AM Model 112805_Valuation Summary New Format wCapRateSensitivity v5" xfId="2469"/>
    <cellStyle name="s_Merger_Sheraton Tampa AM Model 112805_Valuation Template Non Operaating Deal 06.12.08" xfId="2470"/>
    <cellStyle name="s_Merger_Sheraton Tampa AM Model 112805_Valuation Template Operating Deal 06.10.08" xfId="2471"/>
    <cellStyle name="s_Merger_SOSJ AM Model (w 06 Budget &amp; refi) 2-16-06" xfId="2472"/>
    <cellStyle name="s_Merger_Trimont Asset Management Model V1" xfId="2473"/>
    <cellStyle name="s_Merger_Trimont Asset Management Model V2" xfId="2474"/>
    <cellStyle name="s_Merger_Valuation Summary New Format wCapRateSensitivity v5" xfId="2475"/>
    <cellStyle name="s_Merger_Valuation Template Non Operaating Deal 06.12.08" xfId="2476"/>
    <cellStyle name="s_Merger_Valuation Template Operating Deal 06.10.08" xfId="2477"/>
    <cellStyle name="s_model2" xfId="2478"/>
    <cellStyle name="s_model2_150 Charles Street model - 2007.12.20 - Valuation v4 Markup" xfId="2479"/>
    <cellStyle name="s_model2_150 Charles Street model - 2008.01.31 - Reconciled" xfId="2480"/>
    <cellStyle name="s_model2_Apartment Model" xfId="2481"/>
    <cellStyle name="s_model2_Apartment Model 5.31.08v3" xfId="2482"/>
    <cellStyle name="s_model2_Charles St Model - 2008.09.30" xfId="2483"/>
    <cellStyle name="s_model2_Ridge Asset Managment Model 5.31.08v3" xfId="2484"/>
    <cellStyle name="s_model2_Ridge Asset Managment Model 7.31.08" xfId="2485"/>
    <cellStyle name="s_model2_Ridge Asset Managment Model Q1 Valuations" xfId="2486"/>
    <cellStyle name="s_model2_Ridge Asset Managment Model Q2 Valuation" xfId="2487"/>
    <cellStyle name="s_model2_Sheraton Tampa AM Model 112805" xfId="2488"/>
    <cellStyle name="s_model2_Sheraton Tampa AM Model 112805_150 Charles Street model - 2007.12.20 - Valuation v4 Markup" xfId="2489"/>
    <cellStyle name="s_model2_Sheraton Tampa AM Model 112805_150 Charles Street model - 2008.01.31 - Reconciled" xfId="2490"/>
    <cellStyle name="s_model2_Sheraton Tampa AM Model 112805_Apartment Model" xfId="2491"/>
    <cellStyle name="s_model2_Sheraton Tampa AM Model 112805_Apartment Model 5.31.08v3" xfId="2492"/>
    <cellStyle name="s_model2_Sheraton Tampa AM Model 112805_Charles St Model - 2008.09.30" xfId="2493"/>
    <cellStyle name="s_model2_Sheraton Tampa AM Model 112805_Ridge Asset Managment Model 5.31.08v3" xfId="2494"/>
    <cellStyle name="s_model2_Sheraton Tampa AM Model 112805_Ridge Asset Managment Model 7.31.08" xfId="2495"/>
    <cellStyle name="s_model2_Sheraton Tampa AM Model 112805_Ridge Asset Managment Model Q1 Valuations" xfId="2496"/>
    <cellStyle name="s_model2_Sheraton Tampa AM Model 112805_Ridge Asset Managment Model Q2 Valuation" xfId="2497"/>
    <cellStyle name="s_model2_Sheraton Tampa AM Model 112805_Trimont Asset Management Model V1" xfId="2498"/>
    <cellStyle name="s_model2_Sheraton Tampa AM Model 112805_Trimont Asset Management Model V2" xfId="2499"/>
    <cellStyle name="s_model2_Sheraton Tampa AM Model 112805_Valuation Summary New Format wCapRateSensitivity v5" xfId="2500"/>
    <cellStyle name="s_model2_Sheraton Tampa AM Model 112805_Valuation Template Non Operaating Deal 06.12.08" xfId="2501"/>
    <cellStyle name="s_model2_Sheraton Tampa AM Model 112805_Valuation Template Operating Deal 06.10.08" xfId="2502"/>
    <cellStyle name="s_model2_SOSJ AM Model (w 06 Budget &amp; refi) 2-16-06" xfId="2503"/>
    <cellStyle name="s_model2_Trimont Asset Management Model V1" xfId="2504"/>
    <cellStyle name="s_model2_Trimont Asset Management Model V2" xfId="2505"/>
    <cellStyle name="s_model2_Valuation Summary New Format wCapRateSensitivity v5" xfId="2506"/>
    <cellStyle name="s_model2_Valuation Template Non Operaating Deal 06.12.08" xfId="2507"/>
    <cellStyle name="s_model2_Valuation Template Operating Deal 06.10.08" xfId="2508"/>
    <cellStyle name="s_P_L_Ratios" xfId="2509"/>
    <cellStyle name="s_P_L_Ratios_150 Charles Street model - 2007.12.20 - Valuation v4 Markup" xfId="2510"/>
    <cellStyle name="s_P_L_Ratios_150 Charles Street model - 2008.01.31 - Reconciled" xfId="2511"/>
    <cellStyle name="s_P_L_Ratios_Apartment Model" xfId="2512"/>
    <cellStyle name="s_P_L_Ratios_Apartment Model 5.31.08v3" xfId="2513"/>
    <cellStyle name="s_P_L_Ratios_B" xfId="2514"/>
    <cellStyle name="s_P_L_Ratios_B_150 Charles Street model - 2007.12.20 - Valuation v4 Markup" xfId="2515"/>
    <cellStyle name="s_P_L_Ratios_B_150 Charles Street model - 2008.01.31 - Reconciled" xfId="2516"/>
    <cellStyle name="s_P_L_Ratios_B_Apartment Model" xfId="2517"/>
    <cellStyle name="s_P_L_Ratios_B_Apartment Model 5.31.08v3" xfId="2518"/>
    <cellStyle name="s_P_L_Ratios_B_Charles St Model - 2008.09.30" xfId="2519"/>
    <cellStyle name="s_P_L_Ratios_B_Ridge Asset Managment Model 5.31.08v3" xfId="2520"/>
    <cellStyle name="s_P_L_Ratios_B_Ridge Asset Managment Model 7.31.08" xfId="2521"/>
    <cellStyle name="s_P_L_Ratios_B_Ridge Asset Managment Model Q1 Valuations" xfId="2522"/>
    <cellStyle name="s_P_L_Ratios_B_Ridge Asset Managment Model Q2 Valuation" xfId="2523"/>
    <cellStyle name="s_P_L_Ratios_B_Sheraton Tampa AM Model 112805" xfId="2524"/>
    <cellStyle name="s_P_L_Ratios_B_Sheraton Tampa AM Model 112805_150 Charles Street model - 2007.12.20 - Valuation v4 Markup" xfId="2525"/>
    <cellStyle name="s_P_L_Ratios_B_Sheraton Tampa AM Model 112805_150 Charles Street model - 2008.01.31 - Reconciled" xfId="2526"/>
    <cellStyle name="s_P_L_Ratios_B_Sheraton Tampa AM Model 112805_Apartment Model" xfId="2527"/>
    <cellStyle name="s_P_L_Ratios_B_Sheraton Tampa AM Model 112805_Apartment Model 5.31.08v3" xfId="2528"/>
    <cellStyle name="s_P_L_Ratios_B_Sheraton Tampa AM Model 112805_Charles St Model - 2008.09.30" xfId="2529"/>
    <cellStyle name="s_P_L_Ratios_B_Sheraton Tampa AM Model 112805_Ridge Asset Managment Model 5.31.08v3" xfId="2530"/>
    <cellStyle name="s_P_L_Ratios_B_Sheraton Tampa AM Model 112805_Ridge Asset Managment Model 7.31.08" xfId="2531"/>
    <cellStyle name="s_P_L_Ratios_B_Sheraton Tampa AM Model 112805_Ridge Asset Managment Model Q1 Valuations" xfId="2532"/>
    <cellStyle name="s_P_L_Ratios_B_Sheraton Tampa AM Model 112805_Ridge Asset Managment Model Q2 Valuation" xfId="2533"/>
    <cellStyle name="s_P_L_Ratios_B_Sheraton Tampa AM Model 112805_Trimont Asset Management Model V1" xfId="2534"/>
    <cellStyle name="s_P_L_Ratios_B_Sheraton Tampa AM Model 112805_Trimont Asset Management Model V2" xfId="2535"/>
    <cellStyle name="s_P_L_Ratios_B_Sheraton Tampa AM Model 112805_Valuation Summary New Format wCapRateSensitivity v5" xfId="2536"/>
    <cellStyle name="s_P_L_Ratios_B_Sheraton Tampa AM Model 112805_Valuation Template Non Operaating Deal 06.12.08" xfId="2537"/>
    <cellStyle name="s_P_L_Ratios_B_Sheraton Tampa AM Model 112805_Valuation Template Operating Deal 06.10.08" xfId="2538"/>
    <cellStyle name="s_P_L_Ratios_B_SOSJ AM Model (w 06 Budget &amp; refi) 2-16-06" xfId="2539"/>
    <cellStyle name="s_P_L_Ratios_B_Trimont Asset Management Model V1" xfId="2540"/>
    <cellStyle name="s_P_L_Ratios_B_Trimont Asset Management Model V2" xfId="2541"/>
    <cellStyle name="s_P_L_Ratios_B_Valuation Summary New Format wCapRateSensitivity v5" xfId="2542"/>
    <cellStyle name="s_P_L_Ratios_B_Valuation Template Non Operaating Deal 06.12.08" xfId="2543"/>
    <cellStyle name="s_P_L_Ratios_B_Valuation Template Operating Deal 06.10.08" xfId="2544"/>
    <cellStyle name="s_P_L_Ratios_Charles St Model - 2008.09.30" xfId="2545"/>
    <cellStyle name="s_P_L_Ratios_Ridge Asset Managment Model 5.31.08v3" xfId="2546"/>
    <cellStyle name="s_P_L_Ratios_Ridge Asset Managment Model 7.31.08" xfId="2547"/>
    <cellStyle name="s_P_L_Ratios_Ridge Asset Managment Model Q1 Valuations" xfId="2548"/>
    <cellStyle name="s_P_L_Ratios_Ridge Asset Managment Model Q2 Valuation" xfId="2549"/>
    <cellStyle name="s_P_L_Ratios_Sheraton Tampa AM Model 112805" xfId="2550"/>
    <cellStyle name="s_P_L_Ratios_Sheraton Tampa AM Model 112805_150 Charles Street model - 2007.12.20 - Valuation v4 Markup" xfId="2551"/>
    <cellStyle name="s_P_L_Ratios_Sheraton Tampa AM Model 112805_150 Charles Street model - 2008.01.31 - Reconciled" xfId="2552"/>
    <cellStyle name="s_P_L_Ratios_Sheraton Tampa AM Model 112805_Apartment Model" xfId="2553"/>
    <cellStyle name="s_P_L_Ratios_Sheraton Tampa AM Model 112805_Apartment Model 5.31.08v3" xfId="2554"/>
    <cellStyle name="s_P_L_Ratios_Sheraton Tampa AM Model 112805_Charles St Model - 2008.09.30" xfId="2555"/>
    <cellStyle name="s_P_L_Ratios_Sheraton Tampa AM Model 112805_Ridge Asset Managment Model 5.31.08v3" xfId="2556"/>
    <cellStyle name="s_P_L_Ratios_Sheraton Tampa AM Model 112805_Ridge Asset Managment Model 7.31.08" xfId="2557"/>
    <cellStyle name="s_P_L_Ratios_Sheraton Tampa AM Model 112805_Ridge Asset Managment Model Q1 Valuations" xfId="2558"/>
    <cellStyle name="s_P_L_Ratios_Sheraton Tampa AM Model 112805_Ridge Asset Managment Model Q2 Valuation" xfId="2559"/>
    <cellStyle name="s_P_L_Ratios_Sheraton Tampa AM Model 112805_Trimont Asset Management Model V1" xfId="2560"/>
    <cellStyle name="s_P_L_Ratios_Sheraton Tampa AM Model 112805_Trimont Asset Management Model V2" xfId="2561"/>
    <cellStyle name="s_P_L_Ratios_Sheraton Tampa AM Model 112805_Valuation Summary New Format wCapRateSensitivity v5" xfId="2562"/>
    <cellStyle name="s_P_L_Ratios_Sheraton Tampa AM Model 112805_Valuation Template Non Operaating Deal 06.12.08" xfId="2563"/>
    <cellStyle name="s_P_L_Ratios_Sheraton Tampa AM Model 112805_Valuation Template Operating Deal 06.10.08" xfId="2564"/>
    <cellStyle name="s_P_L_Ratios_SOSJ AM Model (w 06 Budget &amp; refi) 2-16-06" xfId="2565"/>
    <cellStyle name="s_P_L_Ratios_Trimont Asset Management Model V1" xfId="2566"/>
    <cellStyle name="s_P_L_Ratios_Trimont Asset Management Model V2" xfId="2567"/>
    <cellStyle name="s_P_L_Ratios_Valuation Summary New Format wCapRateSensitivity v5" xfId="2568"/>
    <cellStyle name="s_P_L_Ratios_Valuation Template Non Operaating Deal 06.12.08" xfId="2569"/>
    <cellStyle name="s_P_L_Ratios_Valuation Template Operating Deal 06.10.08" xfId="2570"/>
    <cellStyle name="s_S_By_S" xfId="2571"/>
    <cellStyle name="s_S_By_S_150 Charles Street model - 2007.12.20 - Valuation v4 Markup" xfId="2572"/>
    <cellStyle name="s_S_By_S_150 Charles Street model - 2008.01.31 - Reconciled" xfId="2573"/>
    <cellStyle name="s_S_By_S_Apartment Model" xfId="2574"/>
    <cellStyle name="s_S_By_S_Apartment Model 5.31.08v3" xfId="2575"/>
    <cellStyle name="s_S_By_S_Charles St Model - 2008.09.30" xfId="2576"/>
    <cellStyle name="s_S_By_S_Ridge Asset Managment Model 5.31.08v3" xfId="2577"/>
    <cellStyle name="s_S_By_S_Ridge Asset Managment Model 7.31.08" xfId="2578"/>
    <cellStyle name="s_S_By_S_Ridge Asset Managment Model Q1 Valuations" xfId="2579"/>
    <cellStyle name="s_S_By_S_Ridge Asset Managment Model Q2 Valuation" xfId="2580"/>
    <cellStyle name="s_S_By_S_Sheraton Tampa AM Model 112805" xfId="2581"/>
    <cellStyle name="s_S_By_S_Sheraton Tampa AM Model 112805_150 Charles Street model - 2007.12.20 - Valuation v4 Markup" xfId="2582"/>
    <cellStyle name="s_S_By_S_Sheraton Tampa AM Model 112805_150 Charles Street model - 2008.01.31 - Reconciled" xfId="2583"/>
    <cellStyle name="s_S_By_S_Sheraton Tampa AM Model 112805_Apartment Model" xfId="2584"/>
    <cellStyle name="s_S_By_S_Sheraton Tampa AM Model 112805_Apartment Model 5.31.08v3" xfId="2585"/>
    <cellStyle name="s_S_By_S_Sheraton Tampa AM Model 112805_Charles St Model - 2008.09.30" xfId="2586"/>
    <cellStyle name="s_S_By_S_Sheraton Tampa AM Model 112805_Ridge Asset Managment Model 5.31.08v3" xfId="2587"/>
    <cellStyle name="s_S_By_S_Sheraton Tampa AM Model 112805_Ridge Asset Managment Model 7.31.08" xfId="2588"/>
    <cellStyle name="s_S_By_S_Sheraton Tampa AM Model 112805_Ridge Asset Managment Model Q1 Valuations" xfId="2589"/>
    <cellStyle name="s_S_By_S_Sheraton Tampa AM Model 112805_Ridge Asset Managment Model Q2 Valuation" xfId="2590"/>
    <cellStyle name="s_S_By_S_Sheraton Tampa AM Model 112805_Trimont Asset Management Model V1" xfId="2591"/>
    <cellStyle name="s_S_By_S_Sheraton Tampa AM Model 112805_Trimont Asset Management Model V2" xfId="2592"/>
    <cellStyle name="s_S_By_S_Sheraton Tampa AM Model 112805_Valuation Summary New Format wCapRateSensitivity v5" xfId="2593"/>
    <cellStyle name="s_S_By_S_Sheraton Tampa AM Model 112805_Valuation Template Non Operaating Deal 06.12.08" xfId="2594"/>
    <cellStyle name="s_S_By_S_Sheraton Tampa AM Model 112805_Valuation Template Operating Deal 06.10.08" xfId="2595"/>
    <cellStyle name="s_S_By_S_SOSJ AM Model (w 06 Budget &amp; refi) 2-16-06" xfId="2596"/>
    <cellStyle name="s_S_By_S_Trimont Asset Management Model V1" xfId="2597"/>
    <cellStyle name="s_S_By_S_Trimont Asset Management Model V2" xfId="2598"/>
    <cellStyle name="s_S_By_S_Valuation Summary New Format wCapRateSensitivity v5" xfId="2599"/>
    <cellStyle name="s_S_By_S_Valuation Template Non Operaating Deal 06.12.08" xfId="2600"/>
    <cellStyle name="s_S_By_S_Valuation Template Operating Deal 06.10.08" xfId="2601"/>
    <cellStyle name="s_Sheet5" xfId="2602"/>
    <cellStyle name="s_Sheet5_150 Charles Street model - 2007.12.20 - Valuation v4 Markup" xfId="2603"/>
    <cellStyle name="s_Sheet5_150 Charles Street model - 2008.01.31 - Reconciled" xfId="2604"/>
    <cellStyle name="s_Sheet5_Apartment Model" xfId="2605"/>
    <cellStyle name="s_Sheet5_Apartment Model 5.31.08v3" xfId="2606"/>
    <cellStyle name="s_Sheet5_Charles St Model - 2008.09.30" xfId="2607"/>
    <cellStyle name="s_Sheet5_Ridge Asset Managment Model 5.31.08v3" xfId="2608"/>
    <cellStyle name="s_Sheet5_Ridge Asset Managment Model 7.31.08" xfId="2609"/>
    <cellStyle name="s_Sheet5_Ridge Asset Managment Model Q1 Valuations" xfId="2610"/>
    <cellStyle name="s_Sheet5_Ridge Asset Managment Model Q2 Valuation" xfId="2611"/>
    <cellStyle name="s_Sheet5_Sheraton Tampa AM Model 112805" xfId="2612"/>
    <cellStyle name="s_Sheet5_Sheraton Tampa AM Model 112805_150 Charles Street model - 2007.12.20 - Valuation v4 Markup" xfId="2613"/>
    <cellStyle name="s_Sheet5_Sheraton Tampa AM Model 112805_150 Charles Street model - 2008.01.31 - Reconciled" xfId="2614"/>
    <cellStyle name="s_Sheet5_Sheraton Tampa AM Model 112805_Apartment Model" xfId="2615"/>
    <cellStyle name="s_Sheet5_Sheraton Tampa AM Model 112805_Apartment Model 5.31.08v3" xfId="2616"/>
    <cellStyle name="s_Sheet5_Sheraton Tampa AM Model 112805_Charles St Model - 2008.09.30" xfId="2617"/>
    <cellStyle name="s_Sheet5_Sheraton Tampa AM Model 112805_Ridge Asset Managment Model 5.31.08v3" xfId="2618"/>
    <cellStyle name="s_Sheet5_Sheraton Tampa AM Model 112805_Ridge Asset Managment Model 7.31.08" xfId="2619"/>
    <cellStyle name="s_Sheet5_Sheraton Tampa AM Model 112805_Ridge Asset Managment Model Q1 Valuations" xfId="2620"/>
    <cellStyle name="s_Sheet5_Sheraton Tampa AM Model 112805_Ridge Asset Managment Model Q2 Valuation" xfId="2621"/>
    <cellStyle name="s_Sheet5_Sheraton Tampa AM Model 112805_Trimont Asset Management Model V1" xfId="2622"/>
    <cellStyle name="s_Sheet5_Sheraton Tampa AM Model 112805_Trimont Asset Management Model V2" xfId="2623"/>
    <cellStyle name="s_Sheet5_Sheraton Tampa AM Model 112805_Valuation Summary New Format wCapRateSensitivity v5" xfId="2624"/>
    <cellStyle name="s_Sheet5_Sheraton Tampa AM Model 112805_Valuation Template Non Operaating Deal 06.12.08" xfId="2625"/>
    <cellStyle name="s_Sheet5_Sheraton Tampa AM Model 112805_Valuation Template Operating Deal 06.10.08" xfId="2626"/>
    <cellStyle name="s_Sheet5_SOSJ AM Model (w 06 Budget &amp; refi) 2-16-06" xfId="2627"/>
    <cellStyle name="s_Sheet5_Trimont Asset Management Model V1" xfId="2628"/>
    <cellStyle name="s_Sheet5_Trimont Asset Management Model V2" xfId="2629"/>
    <cellStyle name="s_Sheet5_Valuation Summary New Format wCapRateSensitivity v5" xfId="2630"/>
    <cellStyle name="s_Sheet5_Valuation Template Non Operaating Deal 06.12.08" xfId="2631"/>
    <cellStyle name="s_Sheet5_Valuation Template Operating Deal 06.10.08" xfId="2632"/>
    <cellStyle name="s_Valuation " xfId="2633"/>
    <cellStyle name="s_Valuation _150 Charles Street model - 2007.12.20 - Valuation v4 Markup" xfId="2634"/>
    <cellStyle name="s_Valuation _150 Charles Street model - 2008.01.31 - Reconciled" xfId="2635"/>
    <cellStyle name="s_Valuation _Apartment Model" xfId="2636"/>
    <cellStyle name="s_Valuation _Apartment Model 5.31.08v3" xfId="2637"/>
    <cellStyle name="s_Valuation _Charles St Model - 2008.09.30" xfId="2638"/>
    <cellStyle name="s_Valuation _Ridge Asset Managment Model 5.31.08v3" xfId="2639"/>
    <cellStyle name="s_Valuation _Ridge Asset Managment Model 7.31.08" xfId="2640"/>
    <cellStyle name="s_Valuation _Ridge Asset Managment Model Q1 Valuations" xfId="2641"/>
    <cellStyle name="s_Valuation _Ridge Asset Managment Model Q2 Valuation" xfId="2642"/>
    <cellStyle name="s_Valuation _Sheraton Tampa AM Model 112805" xfId="2643"/>
    <cellStyle name="s_Valuation _Sheraton Tampa AM Model 112805_150 Charles Street model - 2007.12.20 - Valuation v4 Markup" xfId="2644"/>
    <cellStyle name="s_Valuation _Sheraton Tampa AM Model 112805_150 Charles Street model - 2008.01.31 - Reconciled" xfId="2645"/>
    <cellStyle name="s_Valuation _Sheraton Tampa AM Model 112805_Apartment Model" xfId="2646"/>
    <cellStyle name="s_Valuation _Sheraton Tampa AM Model 112805_Apartment Model 5.31.08v3" xfId="2647"/>
    <cellStyle name="s_Valuation _Sheraton Tampa AM Model 112805_Charles St Model - 2008.09.30" xfId="2648"/>
    <cellStyle name="s_Valuation _Sheraton Tampa AM Model 112805_Ridge Asset Managment Model 5.31.08v3" xfId="2649"/>
    <cellStyle name="s_Valuation _Sheraton Tampa AM Model 112805_Ridge Asset Managment Model 7.31.08" xfId="2650"/>
    <cellStyle name="s_Valuation _Sheraton Tampa AM Model 112805_Ridge Asset Managment Model Q1 Valuations" xfId="2651"/>
    <cellStyle name="s_Valuation _Sheraton Tampa AM Model 112805_Ridge Asset Managment Model Q2 Valuation" xfId="2652"/>
    <cellStyle name="s_Valuation _Sheraton Tampa AM Model 112805_Trimont Asset Management Model V1" xfId="2653"/>
    <cellStyle name="s_Valuation _Sheraton Tampa AM Model 112805_Trimont Asset Management Model V2" xfId="2654"/>
    <cellStyle name="s_Valuation _Sheraton Tampa AM Model 112805_Valuation Summary New Format wCapRateSensitivity v5" xfId="2655"/>
    <cellStyle name="s_Valuation _Sheraton Tampa AM Model 112805_Valuation Template Non Operaating Deal 06.12.08" xfId="2656"/>
    <cellStyle name="s_Valuation _Sheraton Tampa AM Model 112805_Valuation Template Operating Deal 06.10.08" xfId="2657"/>
    <cellStyle name="s_Valuation _SOSJ AM Model (w 06 Budget &amp; refi) 2-16-06" xfId="2658"/>
    <cellStyle name="s_Valuation _Trimont Asset Management Model V1" xfId="2659"/>
    <cellStyle name="s_Valuation _Trimont Asset Management Model V2" xfId="2660"/>
    <cellStyle name="s_Valuation _Valuation Summary New Format wCapRateSensitivity v5" xfId="2661"/>
    <cellStyle name="s_Valuation _Valuation Template Non Operaating Deal 06.12.08" xfId="2662"/>
    <cellStyle name="s_Valuation _Valuation Template Operating Deal 06.10.08" xfId="2663"/>
    <cellStyle name="ScotchRule" xfId="2664"/>
    <cellStyle name="sd" xfId="2665"/>
    <cellStyle name="sf" xfId="2666"/>
    <cellStyle name="Shaded" xfId="2667"/>
    <cellStyle name="Shading" xfId="2668"/>
    <cellStyle name="Short $" xfId="2669"/>
    <cellStyle name="Single Accounting" xfId="2670"/>
    <cellStyle name="souli" xfId="2671"/>
    <cellStyle name="SpecialHeader" xfId="76"/>
    <cellStyle name="ss" xfId="2672"/>
    <cellStyle name="SS Col Hdr" xfId="2673"/>
    <cellStyle name="SS Dim 1 Blank" xfId="2674"/>
    <cellStyle name="SS Dim 1 Title" xfId="2675"/>
    <cellStyle name="SS Dim 1 Value" xfId="2676"/>
    <cellStyle name="SS Dim 2 Blank" xfId="2677"/>
    <cellStyle name="SS Dim 2 Title" xfId="2678"/>
    <cellStyle name="SS Dim 2 Value" xfId="2679"/>
    <cellStyle name="SS Dim 3 Blank" xfId="2680"/>
    <cellStyle name="SS Dim 3 Title" xfId="2681"/>
    <cellStyle name="SS Dim 3 Value" xfId="2682"/>
    <cellStyle name="SS Dim 4 Blank" xfId="2683"/>
    <cellStyle name="SS Dim 4 Title" xfId="2684"/>
    <cellStyle name="SS Dim 4 Value" xfId="2685"/>
    <cellStyle name="SS Dim 5 Blank" xfId="2686"/>
    <cellStyle name="SS Dim 5 Title" xfId="2687"/>
    <cellStyle name="SS Dim 5 Value" xfId="2688"/>
    <cellStyle name="SS Other Measure" xfId="2689"/>
    <cellStyle name="SS Sum Measure" xfId="2690"/>
    <cellStyle name="SS Unbound Dim" xfId="2691"/>
    <cellStyle name="SS WAvg Measure" xfId="2692"/>
    <cellStyle name="Standard_SOURCE 02" xfId="2693"/>
    <cellStyle name="STYL1 - Style1" xfId="2694"/>
    <cellStyle name="STYL2 - Style2" xfId="2695"/>
    <cellStyle name="STYL3 - Style3" xfId="2696"/>
    <cellStyle name="STYL3 - Style3 2" xfId="2697"/>
    <cellStyle name="STYL4 - Style4" xfId="2698"/>
    <cellStyle name="STYL4 - Style4 2" xfId="2699"/>
    <cellStyle name="STYL5 - Style5" xfId="2700"/>
    <cellStyle name="STYL6 - Style6" xfId="2701"/>
    <cellStyle name="STYL6 - Style6 2" xfId="2702"/>
    <cellStyle name="Style 1" xfId="2703"/>
    <cellStyle name="Style 2" xfId="2704"/>
    <cellStyle name="Style 22" xfId="2705"/>
    <cellStyle name="Style 227" xfId="2706"/>
    <cellStyle name="Style 228" xfId="2707"/>
    <cellStyle name="Style 228 2" xfId="2708"/>
    <cellStyle name="Style 229" xfId="2709"/>
    <cellStyle name="Style 229 2" xfId="2710"/>
    <cellStyle name="Style 23" xfId="2711"/>
    <cellStyle name="Style 230" xfId="2712"/>
    <cellStyle name="Style 230 2" xfId="2713"/>
    <cellStyle name="Style 231" xfId="2714"/>
    <cellStyle name="Style 231 2" xfId="2715"/>
    <cellStyle name="Style 232" xfId="2716"/>
    <cellStyle name="Style 233" xfId="2717"/>
    <cellStyle name="Style 234" xfId="2718"/>
    <cellStyle name="Style 235" xfId="2719"/>
    <cellStyle name="Style 236" xfId="2720"/>
    <cellStyle name="Style 237" xfId="2721"/>
    <cellStyle name="Style 238" xfId="2722"/>
    <cellStyle name="Style 239" xfId="2723"/>
    <cellStyle name="Style 24" xfId="2724"/>
    <cellStyle name="Style 240" xfId="2725"/>
    <cellStyle name="Style 241" xfId="2726"/>
    <cellStyle name="Style 242" xfId="2727"/>
    <cellStyle name="Style 243" xfId="2728"/>
    <cellStyle name="Style 244" xfId="2729"/>
    <cellStyle name="Style 245" xfId="2730"/>
    <cellStyle name="Style 246" xfId="2731"/>
    <cellStyle name="Style 247" xfId="2732"/>
    <cellStyle name="Style 248" xfId="2733"/>
    <cellStyle name="Style 249" xfId="2734"/>
    <cellStyle name="Style 250" xfId="2735"/>
    <cellStyle name="Style 251" xfId="2736"/>
    <cellStyle name="Style 252" xfId="2737"/>
    <cellStyle name="Style 252 2" xfId="2738"/>
    <cellStyle name="Style 253" xfId="2739"/>
    <cellStyle name="Style 253 2" xfId="2740"/>
    <cellStyle name="Style 254" xfId="2741"/>
    <cellStyle name="Style 254 2" xfId="2742"/>
    <cellStyle name="Style 255" xfId="2743"/>
    <cellStyle name="Style 255 2" xfId="2744"/>
    <cellStyle name="Style 256" xfId="2745"/>
    <cellStyle name="Style 256 2" xfId="2746"/>
    <cellStyle name="Style 257" xfId="2747"/>
    <cellStyle name="Style 257 2" xfId="2748"/>
    <cellStyle name="Style 258" xfId="2749"/>
    <cellStyle name="Style 258 2" xfId="2750"/>
    <cellStyle name="Style 259" xfId="2751"/>
    <cellStyle name="Style 259 2" xfId="2752"/>
    <cellStyle name="Style 260" xfId="2753"/>
    <cellStyle name="Style 260 2" xfId="2754"/>
    <cellStyle name="Style 307" xfId="2755"/>
    <cellStyle name="Style 308" xfId="2756"/>
    <cellStyle name="Style 308 2" xfId="2757"/>
    <cellStyle name="Style 309" xfId="2758"/>
    <cellStyle name="Style 309 2" xfId="2759"/>
    <cellStyle name="Style 310" xfId="2760"/>
    <cellStyle name="Style 310 2" xfId="2761"/>
    <cellStyle name="Style 311" xfId="2762"/>
    <cellStyle name="Style 311 2" xfId="2763"/>
    <cellStyle name="Style 312" xfId="2764"/>
    <cellStyle name="Style 313" xfId="2765"/>
    <cellStyle name="Style 314" xfId="2766"/>
    <cellStyle name="Style 315" xfId="2767"/>
    <cellStyle name="Style 316" xfId="2768"/>
    <cellStyle name="Style 317" xfId="2769"/>
    <cellStyle name="Style 318" xfId="2770"/>
    <cellStyle name="Style 319" xfId="2771"/>
    <cellStyle name="Style 320" xfId="2772"/>
    <cellStyle name="Style 320 2" xfId="2773"/>
    <cellStyle name="Style 321" xfId="2774"/>
    <cellStyle name="Style 321 2" xfId="2775"/>
    <cellStyle name="Style 322" xfId="2776"/>
    <cellStyle name="Style 322 2" xfId="2777"/>
    <cellStyle name="Style 351" xfId="2778"/>
    <cellStyle name="Style 352" xfId="2779"/>
    <cellStyle name="Style 352 2" xfId="2780"/>
    <cellStyle name="Style 353" xfId="2781"/>
    <cellStyle name="Style 353 2" xfId="2782"/>
    <cellStyle name="Style 354" xfId="2783"/>
    <cellStyle name="Style 354 2" xfId="2784"/>
    <cellStyle name="Style 355" xfId="2785"/>
    <cellStyle name="Style 355 2" xfId="2786"/>
    <cellStyle name="Style 356" xfId="2787"/>
    <cellStyle name="Style 357" xfId="2788"/>
    <cellStyle name="Style 358" xfId="2789"/>
    <cellStyle name="Style 359" xfId="2790"/>
    <cellStyle name="Style 360" xfId="2791"/>
    <cellStyle name="Style 361" xfId="2792"/>
    <cellStyle name="Style 362" xfId="2793"/>
    <cellStyle name="Style 363" xfId="2794"/>
    <cellStyle name="Style 364" xfId="2795"/>
    <cellStyle name="Style 364 2" xfId="2796"/>
    <cellStyle name="Style 365" xfId="2797"/>
    <cellStyle name="Style 366" xfId="2798"/>
    <cellStyle name="Style 367" xfId="2799"/>
    <cellStyle name="Style 368" xfId="2800"/>
    <cellStyle name="Style 369" xfId="2801"/>
    <cellStyle name="Style 370" xfId="2802"/>
    <cellStyle name="Style 371" xfId="2803"/>
    <cellStyle name="Style 372" xfId="2804"/>
    <cellStyle name="Style 373" xfId="2805"/>
    <cellStyle name="Style 374" xfId="2806"/>
    <cellStyle name="Style 375" xfId="2807"/>
    <cellStyle name="Style 376" xfId="2808"/>
    <cellStyle name="Style 377" xfId="2809"/>
    <cellStyle name="Style 378" xfId="2810"/>
    <cellStyle name="Style 379" xfId="2811"/>
    <cellStyle name="Style 380" xfId="2812"/>
    <cellStyle name="Style 381" xfId="2813"/>
    <cellStyle name="Style 382" xfId="2814"/>
    <cellStyle name="Style 382 2" xfId="2815"/>
    <cellStyle name="Style 383" xfId="2816"/>
    <cellStyle name="Style 384" xfId="2817"/>
    <cellStyle name="Style 384 2" xfId="2818"/>
    <cellStyle name="Style 385" xfId="2819"/>
    <cellStyle name="Style 385 2" xfId="2820"/>
    <cellStyle name="Style 386" xfId="2821"/>
    <cellStyle name="Style 386 2" xfId="2822"/>
    <cellStyle name="Style 387" xfId="2823"/>
    <cellStyle name="Style 387 2" xfId="2824"/>
    <cellStyle name="Style 388" xfId="2825"/>
    <cellStyle name="Style 388 2" xfId="2826"/>
    <cellStyle name="Style 390" xfId="2827"/>
    <cellStyle name="Style 391" xfId="2828"/>
    <cellStyle name="Style 391 2" xfId="2829"/>
    <cellStyle name="Style 391 3" xfId="2830"/>
    <cellStyle name="Style 392" xfId="2831"/>
    <cellStyle name="Style 392 2" xfId="2832"/>
    <cellStyle name="Style 393" xfId="2833"/>
    <cellStyle name="Style 393 2" xfId="2834"/>
    <cellStyle name="Style 394" xfId="2835"/>
    <cellStyle name="Style 394 2" xfId="2836"/>
    <cellStyle name="Style 395" xfId="2837"/>
    <cellStyle name="Style 395 2" xfId="2838"/>
    <cellStyle name="Style 396" xfId="2839"/>
    <cellStyle name="Style 397" xfId="2840"/>
    <cellStyle name="Style 398" xfId="2841"/>
    <cellStyle name="Style 399" xfId="2842"/>
    <cellStyle name="Style 400" xfId="2843"/>
    <cellStyle name="Style 401" xfId="2844"/>
    <cellStyle name="Style 402" xfId="2845"/>
    <cellStyle name="Style 403" xfId="2846"/>
    <cellStyle name="Style 404" xfId="2847"/>
    <cellStyle name="Style 405" xfId="2848"/>
    <cellStyle name="Style 406" xfId="2849"/>
    <cellStyle name="Style 407" xfId="2850"/>
    <cellStyle name="Style 408" xfId="2851"/>
    <cellStyle name="Style 409" xfId="2852"/>
    <cellStyle name="Style 410" xfId="2853"/>
    <cellStyle name="Style 410 2" xfId="2854"/>
    <cellStyle name="Style 411" xfId="2855"/>
    <cellStyle name="Style 435" xfId="2856"/>
    <cellStyle name="Style 436" xfId="2857"/>
    <cellStyle name="Style 436 2" xfId="2858"/>
    <cellStyle name="Style 437" xfId="2859"/>
    <cellStyle name="Style 437 2" xfId="2860"/>
    <cellStyle name="Style 438" xfId="2861"/>
    <cellStyle name="Style 438 2" xfId="2862"/>
    <cellStyle name="Style 439" xfId="2863"/>
    <cellStyle name="Style 439 2" xfId="2864"/>
    <cellStyle name="Style 440" xfId="2865"/>
    <cellStyle name="Style 441" xfId="2866"/>
    <cellStyle name="Style 442" xfId="2867"/>
    <cellStyle name="Style 443" xfId="2868"/>
    <cellStyle name="Style 444" xfId="2869"/>
    <cellStyle name="Style 445" xfId="2870"/>
    <cellStyle name="Style 446" xfId="2871"/>
    <cellStyle name="Style 447" xfId="2872"/>
    <cellStyle name="Style 448" xfId="2873"/>
    <cellStyle name="Style 448 2" xfId="2874"/>
    <cellStyle name="Style 449" xfId="2875"/>
    <cellStyle name="Style 449 2" xfId="2876"/>
    <cellStyle name="Style 450" xfId="2877"/>
    <cellStyle name="Style 450 2" xfId="2878"/>
    <cellStyle name="Style 459" xfId="2879"/>
    <cellStyle name="Style 460" xfId="2880"/>
    <cellStyle name="Style 461" xfId="2881"/>
    <cellStyle name="Style 462" xfId="2882"/>
    <cellStyle name="Style 463" xfId="2883"/>
    <cellStyle name="Style 464" xfId="2884"/>
    <cellStyle name="Style 465" xfId="2885"/>
    <cellStyle name="Style 466" xfId="2886"/>
    <cellStyle name="Style 467" xfId="2887"/>
    <cellStyle name="Style 468" xfId="2888"/>
    <cellStyle name="Style 469" xfId="2889"/>
    <cellStyle name="Style 469 2" xfId="2890"/>
    <cellStyle name="Style 470" xfId="2891"/>
    <cellStyle name="Style 471" xfId="2892"/>
    <cellStyle name="Style 479" xfId="2893"/>
    <cellStyle name="Style 480" xfId="2894"/>
    <cellStyle name="Style 480 2" xfId="2895"/>
    <cellStyle name="Style 481" xfId="2896"/>
    <cellStyle name="Style 481 2" xfId="2897"/>
    <cellStyle name="Style 482" xfId="2898"/>
    <cellStyle name="Style 482 2" xfId="2899"/>
    <cellStyle name="Style 483" xfId="2900"/>
    <cellStyle name="Style 483 2" xfId="2901"/>
    <cellStyle name="Style 484" xfId="2902"/>
    <cellStyle name="Style 485" xfId="2903"/>
    <cellStyle name="Style 486" xfId="2904"/>
    <cellStyle name="Style 487" xfId="2905"/>
    <cellStyle name="Style 488" xfId="2906"/>
    <cellStyle name="Style 489" xfId="2907"/>
    <cellStyle name="Style 490" xfId="2908"/>
    <cellStyle name="Style 491" xfId="2909"/>
    <cellStyle name="Style 492" xfId="2910"/>
    <cellStyle name="Style 493" xfId="2911"/>
    <cellStyle name="Style 494" xfId="2912"/>
    <cellStyle name="Style 495" xfId="2913"/>
    <cellStyle name="Style 496" xfId="2914"/>
    <cellStyle name="Style 496 2" xfId="2915"/>
    <cellStyle name="Style 497" xfId="2916"/>
    <cellStyle name="Style 498" xfId="2917"/>
    <cellStyle name="Style 499" xfId="2918"/>
    <cellStyle name="Style 500" xfId="2919"/>
    <cellStyle name="Style 501" xfId="2920"/>
    <cellStyle name="Style 502" xfId="2921"/>
    <cellStyle name="Style 503" xfId="2922"/>
    <cellStyle name="Style 504" xfId="2923"/>
    <cellStyle name="Style 518" xfId="2924"/>
    <cellStyle name="Style 519" xfId="2925"/>
    <cellStyle name="Style 519 2" xfId="2926"/>
    <cellStyle name="Style 519 3" xfId="2927"/>
    <cellStyle name="Style 520" xfId="2928"/>
    <cellStyle name="Style 520 2" xfId="2929"/>
    <cellStyle name="Style 521" xfId="2930"/>
    <cellStyle name="Style 521 2" xfId="2931"/>
    <cellStyle name="Style 522" xfId="2932"/>
    <cellStyle name="Style 522 2" xfId="2933"/>
    <cellStyle name="Style 523" xfId="2934"/>
    <cellStyle name="Style 523 2" xfId="2935"/>
    <cellStyle name="Style 524" xfId="2936"/>
    <cellStyle name="Style 525" xfId="2937"/>
    <cellStyle name="Style 526" xfId="2938"/>
    <cellStyle name="Style 527" xfId="2939"/>
    <cellStyle name="Style 528" xfId="2940"/>
    <cellStyle name="Style 529" xfId="2941"/>
    <cellStyle name="Style 530" xfId="2942"/>
    <cellStyle name="Style 531" xfId="2943"/>
    <cellStyle name="Style 531 2" xfId="2944"/>
    <cellStyle name="Style 532" xfId="2945"/>
    <cellStyle name="Style 533" xfId="2946"/>
    <cellStyle name="Style 533 2" xfId="2947"/>
    <cellStyle name="Style 534" xfId="2948"/>
    <cellStyle name="Style 534 2" xfId="2949"/>
    <cellStyle name="Style 535" xfId="2950"/>
    <cellStyle name="Style 536" xfId="2951"/>
    <cellStyle name="Style 537" xfId="2952"/>
    <cellStyle name="Style 538" xfId="2953"/>
    <cellStyle name="Style 538 2" xfId="2954"/>
    <cellStyle name="Style 586" xfId="2955"/>
    <cellStyle name="Style 587" xfId="2956"/>
    <cellStyle name="Style 588" xfId="2957"/>
    <cellStyle name="Style 589" xfId="2958"/>
    <cellStyle name="Style 590" xfId="2959"/>
    <cellStyle name="Style 591" xfId="2960"/>
    <cellStyle name="Style 592" xfId="2961"/>
    <cellStyle name="Style 592 2" xfId="2962"/>
    <cellStyle name="Style 593" xfId="2963"/>
    <cellStyle name="Style 594" xfId="2964"/>
    <cellStyle name="Style 594 2" xfId="2965"/>
    <cellStyle name="Style 595" xfId="2966"/>
    <cellStyle name="Style 595 2" xfId="2967"/>
    <cellStyle name="Style 596" xfId="2968"/>
    <cellStyle name="Style 597" xfId="2969"/>
    <cellStyle name="Style 598" xfId="2970"/>
    <cellStyle name="Style 599" xfId="2971"/>
    <cellStyle name="Style 600" xfId="2972"/>
    <cellStyle name="Style 617" xfId="2973"/>
    <cellStyle name="Style 618" xfId="2974"/>
    <cellStyle name="Style 619" xfId="2975"/>
    <cellStyle name="Style 620" xfId="2976"/>
    <cellStyle name="Style 621" xfId="2977"/>
    <cellStyle name="Style 622" xfId="2978"/>
    <cellStyle name="Style 623" xfId="2979"/>
    <cellStyle name="Style 624" xfId="2980"/>
    <cellStyle name="Style 625" xfId="2981"/>
    <cellStyle name="Style 626" xfId="2982"/>
    <cellStyle name="Style 627" xfId="2983"/>
    <cellStyle name="Style 627 2" xfId="2984"/>
    <cellStyle name="Style 628" xfId="2985"/>
    <cellStyle name="Style 629" xfId="2986"/>
    <cellStyle name="Style 630" xfId="2987"/>
    <cellStyle name="Style 631" xfId="2988"/>
    <cellStyle name="Style 632" xfId="2989"/>
    <cellStyle name="Style 633" xfId="2990"/>
    <cellStyle name="Style 634" xfId="2991"/>
    <cellStyle name="Style 635" xfId="2992"/>
    <cellStyle name="Style 656" xfId="2993"/>
    <cellStyle name="Style 657" xfId="2994"/>
    <cellStyle name="Style 658" xfId="2995"/>
    <cellStyle name="Style 659" xfId="2996"/>
    <cellStyle name="Style 660" xfId="2997"/>
    <cellStyle name="Style 661" xfId="2998"/>
    <cellStyle name="Style 662" xfId="2999"/>
    <cellStyle name="Style 662 2" xfId="3000"/>
    <cellStyle name="Style 663" xfId="3001"/>
    <cellStyle name="Style 664" xfId="3002"/>
    <cellStyle name="Style 664 2" xfId="3003"/>
    <cellStyle name="Style 665" xfId="3004"/>
    <cellStyle name="Style 665 2" xfId="3005"/>
    <cellStyle name="Style 666" xfId="3006"/>
    <cellStyle name="Style 667" xfId="3007"/>
    <cellStyle name="Style 668" xfId="3008"/>
    <cellStyle name="Style 669" xfId="3009"/>
    <cellStyle name="Style 691" xfId="3010"/>
    <cellStyle name="Style 691 2" xfId="3011"/>
    <cellStyle name="Style 692" xfId="3012"/>
    <cellStyle name="Style 693" xfId="3013"/>
    <cellStyle name="Style 693 2" xfId="3014"/>
    <cellStyle name="Style 694" xfId="3015"/>
    <cellStyle name="Style 694 2" xfId="3016"/>
    <cellStyle name="Style 695" xfId="3017"/>
    <cellStyle name="Style 696" xfId="3018"/>
    <cellStyle name="Style 697" xfId="3019"/>
    <cellStyle name="Style 698" xfId="3020"/>
    <cellStyle name="STYLE1" xfId="3021"/>
    <cellStyle name="STYLE2" xfId="3022"/>
    <cellStyle name="Style3" xfId="3023"/>
    <cellStyle name="su" xfId="3024"/>
    <cellStyle name="SubHeader" xfId="77"/>
    <cellStyle name="Subtitle" xfId="3025"/>
    <cellStyle name="Subtitle - No ScotchRule" xfId="3026"/>
    <cellStyle name="SubTotal" xfId="78"/>
    <cellStyle name="SubTotal 2" xfId="3027"/>
    <cellStyle name="SubTotal 3" xfId="3028"/>
    <cellStyle name="SubTotal 4" xfId="3029"/>
    <cellStyle name="sum" xfId="3030"/>
    <cellStyle name="sum 2" xfId="3031"/>
    <cellStyle name="T" xfId="79"/>
    <cellStyle name="t 10" xfId="3032"/>
    <cellStyle name="T 11" xfId="3033"/>
    <cellStyle name="T 12" xfId="3034"/>
    <cellStyle name="T 13" xfId="3035"/>
    <cellStyle name="T 14" xfId="3036"/>
    <cellStyle name="T 15" xfId="3037"/>
    <cellStyle name="T 16" xfId="3038"/>
    <cellStyle name="T 17" xfId="3039"/>
    <cellStyle name="T 2" xfId="3040"/>
    <cellStyle name="t 3" xfId="3041"/>
    <cellStyle name="t 4" xfId="3042"/>
    <cellStyle name="t 5" xfId="3043"/>
    <cellStyle name="t 6" xfId="3044"/>
    <cellStyle name="t 7" xfId="3045"/>
    <cellStyle name="t 8" xfId="3046"/>
    <cellStyle name="t 9" xfId="3047"/>
    <cellStyle name="t_1200 Brickell Trimont Model 2004_09_14" xfId="3048"/>
    <cellStyle name="t_1200 Brickell Trimont Model 2004_09_14 2" xfId="3049"/>
    <cellStyle name="t_DCF" xfId="3050"/>
    <cellStyle name="t_DCF 2" xfId="3051"/>
    <cellStyle name="t_Downey Charts" xfId="3052"/>
    <cellStyle name="t_Downey Charts 2" xfId="3053"/>
    <cellStyle name="t_Macros" xfId="3054"/>
    <cellStyle name="t_Macros (2)" xfId="3055"/>
    <cellStyle name="t_Macros (3)" xfId="3056"/>
    <cellStyle name="t_Macros (3) 2" xfId="3057"/>
    <cellStyle name="t_Macros 2" xfId="3058"/>
    <cellStyle name="t_Macros 3" xfId="3059"/>
    <cellStyle name="t_Macros_1" xfId="3060"/>
    <cellStyle name="t_Manager" xfId="3061"/>
    <cellStyle name="t_Manager (2)" xfId="3062"/>
    <cellStyle name="t_Manager (2)_1" xfId="3063"/>
    <cellStyle name="t_Manager (2)_1 2" xfId="3064"/>
    <cellStyle name="t_Manager 2" xfId="3065"/>
    <cellStyle name="t_Manager 3" xfId="3066"/>
    <cellStyle name="t_Sheet1" xfId="3067"/>
    <cellStyle name="t1" xfId="3068"/>
    <cellStyle name="Table Col Head" xfId="3069"/>
    <cellStyle name="Table Header" xfId="124"/>
    <cellStyle name="Table Label" xfId="3070"/>
    <cellStyle name="Table Label 2" xfId="3071"/>
    <cellStyle name="Table Label 3" xfId="3072"/>
    <cellStyle name="Table Sub Head" xfId="3073"/>
    <cellStyle name="Table Subheader1" xfId="125"/>
    <cellStyle name="Table Subheader2" xfId="126"/>
    <cellStyle name="Table Subheader2 2" xfId="3074"/>
    <cellStyle name="Table Subheader2 3" xfId="3075"/>
    <cellStyle name="Table Subheader3" xfId="127"/>
    <cellStyle name="Table Subheader3 2" xfId="3076"/>
    <cellStyle name="Table Subheader3 3" xfId="3077"/>
    <cellStyle name="Table Title" xfId="3078"/>
    <cellStyle name="Table Units" xfId="3079"/>
    <cellStyle name="Text Indent A" xfId="3080"/>
    <cellStyle name="Text Indent B" xfId="3081"/>
    <cellStyle name="Text Indent C" xfId="3082"/>
    <cellStyle name="tg" xfId="3083"/>
    <cellStyle name="tg 2" xfId="3084"/>
    <cellStyle name="ti" xfId="3085"/>
    <cellStyle name="ti 2" xfId="3086"/>
    <cellStyle name="TIME" xfId="80"/>
    <cellStyle name="Times 10" xfId="3087"/>
    <cellStyle name="Times 12" xfId="3088"/>
    <cellStyle name="Times New Roman" xfId="3089"/>
    <cellStyle name="tit" xfId="3090"/>
    <cellStyle name="tit 2" xfId="3091"/>
    <cellStyle name="Title - No ScotchRule" xfId="3092"/>
    <cellStyle name="Title 2" xfId="113"/>
    <cellStyle name="Title 2 2" xfId="3093"/>
    <cellStyle name="Title 2 2 2" xfId="3094"/>
    <cellStyle name="Title 2 3" xfId="3095"/>
    <cellStyle name="Title1" xfId="81"/>
    <cellStyle name="TitleOther" xfId="82"/>
    <cellStyle name="Top and Bottom Border" xfId="3096"/>
    <cellStyle name="Top and Bottom Border 2" xfId="3097"/>
    <cellStyle name="Top_Double_Bottom" xfId="3098"/>
    <cellStyle name="TopBot - Style2" xfId="3099"/>
    <cellStyle name="TopBot - Style2 2" xfId="3100"/>
    <cellStyle name="Total1" xfId="83"/>
    <cellStyle name="Total2" xfId="84"/>
    <cellStyle name="Total3" xfId="85"/>
    <cellStyle name="Total4" xfId="86"/>
    <cellStyle name="Total5" xfId="87"/>
    <cellStyle name="Total6" xfId="88"/>
    <cellStyle name="Total7" xfId="89"/>
    <cellStyle name="Total8" xfId="90"/>
    <cellStyle name="Total9" xfId="91"/>
    <cellStyle name="Totals" xfId="3101"/>
    <cellStyle name="TotShade" xfId="92"/>
    <cellStyle name="tt" xfId="3102"/>
    <cellStyle name="u" xfId="3103"/>
    <cellStyle name="u_Macros" xfId="3104"/>
    <cellStyle name="u_Macros (2)" xfId="3105"/>
    <cellStyle name="u_Manager (2)" xfId="3106"/>
    <cellStyle name="Undefiniert" xfId="3107"/>
    <cellStyle name="Underscore" xfId="93"/>
    <cellStyle name="Underscore 2" xfId="94"/>
    <cellStyle name="Underscore 2 2" xfId="139"/>
    <cellStyle name="Underscore 2 3" xfId="3108"/>
    <cellStyle name="Underscore 2 4" xfId="3109"/>
    <cellStyle name="Unprot" xfId="3110"/>
    <cellStyle name="Unprot$" xfId="3111"/>
    <cellStyle name="Unprotect" xfId="3112"/>
    <cellStyle name="Unprotected" xfId="3113"/>
    <cellStyle name="User_Defined_C" xfId="3114"/>
    <cellStyle name="Valuta (0)_affitto_a_terzi" xfId="3115"/>
    <cellStyle name="Valuta_affitto_a_terzi" xfId="3116"/>
    <cellStyle name="VO" xfId="3117"/>
    <cellStyle name="w12" xfId="3118"/>
    <cellStyle name="Währung [0]_laroux" xfId="3119"/>
    <cellStyle name="Währung_laroux" xfId="3120"/>
    <cellStyle name="x" xfId="3121"/>
    <cellStyle name="Year" xfId="3122"/>
    <cellStyle name="Year #" xfId="128"/>
    <cellStyle name="Year # 2" xfId="3123"/>
    <cellStyle name="Year # 2 2" xfId="3124"/>
    <cellStyle name="Year # 2 2 2" xfId="3125"/>
    <cellStyle name="Year # 2 2 2 2" xfId="3126"/>
    <cellStyle name="Year # 2 2 3" xfId="3127"/>
    <cellStyle name="Year # 2 2 4" xfId="3128"/>
    <cellStyle name="Year # 2 3" xfId="3129"/>
    <cellStyle name="Year # 2 3 2" xfId="3130"/>
    <cellStyle name="Year # 2 4" xfId="3131"/>
    <cellStyle name="Year # 2 5" xfId="3132"/>
    <cellStyle name="Year # 3" xfId="3133"/>
    <cellStyle name="Year # 3 2" xfId="3134"/>
    <cellStyle name="Year # 3 2 2" xfId="3135"/>
    <cellStyle name="Year # 3 3" xfId="3136"/>
    <cellStyle name="Year # 3 4" xfId="3137"/>
    <cellStyle name="Year # 4" xfId="3138"/>
    <cellStyle name="Year # 4 2" xfId="3139"/>
    <cellStyle name="Year # 4 2 2" xfId="3140"/>
    <cellStyle name="Year # 4 3" xfId="3141"/>
    <cellStyle name="Year # 4 4" xfId="3142"/>
    <cellStyle name="Year # 5" xfId="3143"/>
    <cellStyle name="Year # 5 2" xfId="3144"/>
    <cellStyle name="Year # 5 2 2" xfId="3145"/>
    <cellStyle name="Year # 5 3" xfId="3146"/>
    <cellStyle name="Year # 5 4" xfId="3147"/>
    <cellStyle name="Year # 6" xfId="3148"/>
    <cellStyle name="Year # 6 2" xfId="3149"/>
    <cellStyle name="Year # 7" xfId="3150"/>
    <cellStyle name="Year # 8" xfId="3151"/>
    <cellStyle name="Year (YYYY)" xfId="129"/>
    <cellStyle name="Year (YYYY) 2" xfId="3152"/>
    <cellStyle name="Year (YYYY) 2 2" xfId="3153"/>
    <cellStyle name="Year (YYYY) 2 2 2" xfId="3154"/>
    <cellStyle name="Year (YYYY) 2 2 2 2" xfId="3155"/>
    <cellStyle name="Year (YYYY) 2 2 3" xfId="3156"/>
    <cellStyle name="Year (YYYY) 2 2 4" xfId="3157"/>
    <cellStyle name="Year (YYYY) 2 3" xfId="3158"/>
    <cellStyle name="Year (YYYY) 2 3 2" xfId="3159"/>
    <cellStyle name="Year (YYYY) 2 4" xfId="3160"/>
    <cellStyle name="Year (YYYY) 2 5" xfId="3161"/>
    <cellStyle name="Year (YYYY) 3" xfId="3162"/>
    <cellStyle name="Year (YYYY) 3 2" xfId="3163"/>
    <cellStyle name="Year (YYYY) 3 2 2" xfId="3164"/>
    <cellStyle name="Year (YYYY) 3 3" xfId="3165"/>
    <cellStyle name="Year (YYYY) 3 4" xfId="3166"/>
    <cellStyle name="Year (YYYY) 4" xfId="3167"/>
    <cellStyle name="Year (YYYY) 4 2" xfId="3168"/>
    <cellStyle name="Year (YYYY) 4 2 2" xfId="3169"/>
    <cellStyle name="Year (YYYY) 4 3" xfId="3170"/>
    <cellStyle name="Year (YYYY) 4 4" xfId="3171"/>
    <cellStyle name="Year (YYYY) 5" xfId="3172"/>
    <cellStyle name="Year (YYYY) 5 2" xfId="3173"/>
    <cellStyle name="Year (YYYY) 5 2 2" xfId="3174"/>
    <cellStyle name="Year (YYYY) 5 3" xfId="3175"/>
    <cellStyle name="Year (YYYY) 5 4" xfId="3176"/>
    <cellStyle name="Year (YYYY) 6" xfId="3177"/>
    <cellStyle name="Year (YYYY) 6 2" xfId="3178"/>
    <cellStyle name="Year (YYYY) 7" xfId="3179"/>
    <cellStyle name="Year (YYYY) 8" xfId="3180"/>
    <cellStyle name="Yen" xfId="3181"/>
    <cellStyle name="Yes/No" xfId="130"/>
    <cellStyle name="Yes/No 2" xfId="3182"/>
    <cellStyle name="Yes/No 2 2" xfId="3183"/>
    <cellStyle name="Yes/No 3" xfId="3184"/>
    <cellStyle name="Yes/No 4" xfId="3185"/>
    <cellStyle name="yh" xfId="3186"/>
    <cellStyle name="yt" xfId="3187"/>
    <cellStyle name="z" xfId="3188"/>
    <cellStyle name="Zaph Call 11pt" xfId="3189"/>
    <cellStyle name="桁区切り [0.00]_Sheet1" xfId="3190"/>
    <cellStyle name="桁区切り_Sheet1" xfId="3191"/>
    <cellStyle name="標準_Book5" xfId="3192"/>
    <cellStyle name="通貨 [0.00]_Sheet1" xfId="3193"/>
    <cellStyle name="通貨_Sheet1" xfId="3194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333399"/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</xdr:colOff>
      <xdr:row>1</xdr:row>
      <xdr:rowOff>80963</xdr:rowOff>
    </xdr:from>
    <xdr:to>
      <xdr:col>3</xdr:col>
      <xdr:colOff>147637</xdr:colOff>
      <xdr:row>4</xdr:row>
      <xdr:rowOff>71438</xdr:rowOff>
    </xdr:to>
    <xdr:sp macro="" textlink="">
      <xdr:nvSpPr>
        <xdr:cNvPr id="2" name="Rectangle 1"/>
        <xdr:cNvSpPr/>
      </xdr:nvSpPr>
      <xdr:spPr>
        <a:xfrm>
          <a:off x="623887" y="271463"/>
          <a:ext cx="1352550" cy="5619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1. Instructions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539750</xdr:colOff>
      <xdr:row>1</xdr:row>
      <xdr:rowOff>80963</xdr:rowOff>
    </xdr:from>
    <xdr:to>
      <xdr:col>6</xdr:col>
      <xdr:colOff>63500</xdr:colOff>
      <xdr:row>4</xdr:row>
      <xdr:rowOff>71438</xdr:rowOff>
    </xdr:to>
    <xdr:sp macro="" textlink="">
      <xdr:nvSpPr>
        <xdr:cNvPr id="3" name="Rectangle 2"/>
        <xdr:cNvSpPr/>
      </xdr:nvSpPr>
      <xdr:spPr>
        <a:xfrm>
          <a:off x="2368550" y="271463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2. Summary</a:t>
          </a:r>
        </a:p>
      </xdr:txBody>
    </xdr:sp>
    <xdr:clientData/>
  </xdr:twoCellAnchor>
  <xdr:twoCellAnchor>
    <xdr:from>
      <xdr:col>6</xdr:col>
      <xdr:colOff>441325</xdr:colOff>
      <xdr:row>1</xdr:row>
      <xdr:rowOff>80963</xdr:rowOff>
    </xdr:from>
    <xdr:to>
      <xdr:col>8</xdr:col>
      <xdr:colOff>574675</xdr:colOff>
      <xdr:row>4</xdr:row>
      <xdr:rowOff>71438</xdr:rowOff>
    </xdr:to>
    <xdr:sp macro="" textlink="">
      <xdr:nvSpPr>
        <xdr:cNvPr id="4" name="Rectangle 3"/>
        <xdr:cNvSpPr/>
      </xdr:nvSpPr>
      <xdr:spPr>
        <a:xfrm>
          <a:off x="4098925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Sensitivity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Analysis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342900</xdr:colOff>
      <xdr:row>1</xdr:row>
      <xdr:rowOff>80963</xdr:rowOff>
    </xdr:from>
    <xdr:to>
      <xdr:col>11</xdr:col>
      <xdr:colOff>476250</xdr:colOff>
      <xdr:row>4</xdr:row>
      <xdr:rowOff>71438</xdr:rowOff>
    </xdr:to>
    <xdr:sp macro="" textlink="">
      <xdr:nvSpPr>
        <xdr:cNvPr id="5" name="Rectangle 4"/>
        <xdr:cNvSpPr/>
      </xdr:nvSpPr>
      <xdr:spPr>
        <a:xfrm>
          <a:off x="5829300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Acquisition Financing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14287</xdr:colOff>
      <xdr:row>6</xdr:row>
      <xdr:rowOff>85725</xdr:rowOff>
    </xdr:from>
    <xdr:to>
      <xdr:col>3</xdr:col>
      <xdr:colOff>147637</xdr:colOff>
      <xdr:row>9</xdr:row>
      <xdr:rowOff>76200</xdr:rowOff>
    </xdr:to>
    <xdr:sp macro="" textlink="">
      <xdr:nvSpPr>
        <xdr:cNvPr id="6" name="Rectangle 5"/>
        <xdr:cNvSpPr/>
      </xdr:nvSpPr>
      <xdr:spPr>
        <a:xfrm>
          <a:off x="623887" y="1228725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5. Projected</a:t>
          </a:r>
          <a:r>
            <a:rPr lang="en-US" sz="1100" baseline="0">
              <a:solidFill>
                <a:sysClr val="windowText" lastClr="000000"/>
              </a:solidFill>
            </a:rPr>
            <a:t> Income Statement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536575</xdr:colOff>
      <xdr:row>6</xdr:row>
      <xdr:rowOff>85725</xdr:rowOff>
    </xdr:from>
    <xdr:to>
      <xdr:col>6</xdr:col>
      <xdr:colOff>60325</xdr:colOff>
      <xdr:row>9</xdr:row>
      <xdr:rowOff>76200</xdr:rowOff>
    </xdr:to>
    <xdr:sp macro="" textlink="">
      <xdr:nvSpPr>
        <xdr:cNvPr id="7" name="Rectangle 6"/>
        <xdr:cNvSpPr/>
      </xdr:nvSpPr>
      <xdr:spPr>
        <a:xfrm>
          <a:off x="23653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Projected Sales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434975</xdr:colOff>
      <xdr:row>6</xdr:row>
      <xdr:rowOff>85725</xdr:rowOff>
    </xdr:from>
    <xdr:to>
      <xdr:col>8</xdr:col>
      <xdr:colOff>568325</xdr:colOff>
      <xdr:row>9</xdr:row>
      <xdr:rowOff>76200</xdr:rowOff>
    </xdr:to>
    <xdr:sp macro="" textlink="">
      <xdr:nvSpPr>
        <xdr:cNvPr id="8" name="Rectangle 7"/>
        <xdr:cNvSpPr/>
      </xdr:nvSpPr>
      <xdr:spPr>
        <a:xfrm>
          <a:off x="40925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Projected Payroll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333375</xdr:colOff>
      <xdr:row>6</xdr:row>
      <xdr:rowOff>85725</xdr:rowOff>
    </xdr:from>
    <xdr:to>
      <xdr:col>11</xdr:col>
      <xdr:colOff>466725</xdr:colOff>
      <xdr:row>9</xdr:row>
      <xdr:rowOff>76200</xdr:rowOff>
    </xdr:to>
    <xdr:sp macro="" textlink="">
      <xdr:nvSpPr>
        <xdr:cNvPr id="9" name="Rectangle 8"/>
        <xdr:cNvSpPr/>
      </xdr:nvSpPr>
      <xdr:spPr>
        <a:xfrm>
          <a:off x="58197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Projected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Operating Expenses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147637</xdr:colOff>
      <xdr:row>2</xdr:row>
      <xdr:rowOff>171451</xdr:rowOff>
    </xdr:from>
    <xdr:to>
      <xdr:col>3</xdr:col>
      <xdr:colOff>539750</xdr:colOff>
      <xdr:row>2</xdr:row>
      <xdr:rowOff>171451</xdr:rowOff>
    </xdr:to>
    <xdr:cxnSp macro="">
      <xdr:nvCxnSpPr>
        <xdr:cNvPr id="10" name="Straight Connector 9"/>
        <xdr:cNvCxnSpPr>
          <a:stCxn id="2" idx="3"/>
          <a:endCxn id="3" idx="1"/>
        </xdr:cNvCxnSpPr>
      </xdr:nvCxnSpPr>
      <xdr:spPr>
        <a:xfrm>
          <a:off x="1976437" y="5524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576262</xdr:colOff>
      <xdr:row>3</xdr:row>
      <xdr:rowOff>9526</xdr:rowOff>
    </xdr:from>
    <xdr:to>
      <xdr:col>9</xdr:col>
      <xdr:colOff>358775</xdr:colOff>
      <xdr:row>3</xdr:row>
      <xdr:rowOff>9526</xdr:rowOff>
    </xdr:to>
    <xdr:cxnSp macro="">
      <xdr:nvCxnSpPr>
        <xdr:cNvPr id="11" name="Straight Connector 10"/>
        <xdr:cNvCxnSpPr/>
      </xdr:nvCxnSpPr>
      <xdr:spPr>
        <a:xfrm>
          <a:off x="5453062" y="58102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147637</xdr:colOff>
      <xdr:row>7</xdr:row>
      <xdr:rowOff>171451</xdr:rowOff>
    </xdr:from>
    <xdr:to>
      <xdr:col>3</xdr:col>
      <xdr:colOff>539750</xdr:colOff>
      <xdr:row>7</xdr:row>
      <xdr:rowOff>171451</xdr:rowOff>
    </xdr:to>
    <xdr:cxnSp macro="">
      <xdr:nvCxnSpPr>
        <xdr:cNvPr id="12" name="Straight Connector 11"/>
        <xdr:cNvCxnSpPr/>
      </xdr:nvCxnSpPr>
      <xdr:spPr>
        <a:xfrm>
          <a:off x="19764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7</xdr:row>
      <xdr:rowOff>171451</xdr:rowOff>
    </xdr:from>
    <xdr:to>
      <xdr:col>6</xdr:col>
      <xdr:colOff>454025</xdr:colOff>
      <xdr:row>7</xdr:row>
      <xdr:rowOff>171451</xdr:rowOff>
    </xdr:to>
    <xdr:cxnSp macro="">
      <xdr:nvCxnSpPr>
        <xdr:cNvPr id="13" name="Straight Connector 12"/>
        <xdr:cNvCxnSpPr/>
      </xdr:nvCxnSpPr>
      <xdr:spPr>
        <a:xfrm>
          <a:off x="3719512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566737</xdr:colOff>
      <xdr:row>7</xdr:row>
      <xdr:rowOff>171451</xdr:rowOff>
    </xdr:from>
    <xdr:to>
      <xdr:col>9</xdr:col>
      <xdr:colOff>349250</xdr:colOff>
      <xdr:row>7</xdr:row>
      <xdr:rowOff>171451</xdr:rowOff>
    </xdr:to>
    <xdr:cxnSp macro="">
      <xdr:nvCxnSpPr>
        <xdr:cNvPr id="14" name="Straight Connector 13"/>
        <xdr:cNvCxnSpPr/>
      </xdr:nvCxnSpPr>
      <xdr:spPr>
        <a:xfrm>
          <a:off x="54435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2</xdr:row>
      <xdr:rowOff>180976</xdr:rowOff>
    </xdr:from>
    <xdr:to>
      <xdr:col>6</xdr:col>
      <xdr:colOff>454025</xdr:colOff>
      <xdr:row>2</xdr:row>
      <xdr:rowOff>180976</xdr:rowOff>
    </xdr:to>
    <xdr:cxnSp macro="">
      <xdr:nvCxnSpPr>
        <xdr:cNvPr id="15" name="Straight Connector 14"/>
        <xdr:cNvCxnSpPr/>
      </xdr:nvCxnSpPr>
      <xdr:spPr>
        <a:xfrm>
          <a:off x="3719512" y="56197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</xdr:colOff>
      <xdr:row>4</xdr:row>
      <xdr:rowOff>71439</xdr:rowOff>
    </xdr:from>
    <xdr:to>
      <xdr:col>10</xdr:col>
      <xdr:colOff>409575</xdr:colOff>
      <xdr:row>5</xdr:row>
      <xdr:rowOff>66679</xdr:rowOff>
    </xdr:to>
    <xdr:cxnSp macro="">
      <xdr:nvCxnSpPr>
        <xdr:cNvPr id="16" name="Connector: Elbow 15"/>
        <xdr:cNvCxnSpPr>
          <a:stCxn id="5" idx="2"/>
        </xdr:cNvCxnSpPr>
      </xdr:nvCxnSpPr>
      <xdr:spPr>
        <a:xfrm rot="5400000">
          <a:off x="3807618" y="-1678779"/>
          <a:ext cx="185740" cy="5210175"/>
        </a:xfrm>
        <a:prstGeom prst="bentConnector2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80962</xdr:colOff>
      <xdr:row>5</xdr:row>
      <xdr:rowOff>76200</xdr:rowOff>
    </xdr:from>
    <xdr:to>
      <xdr:col>2</xdr:col>
      <xdr:colOff>85725</xdr:colOff>
      <xdr:row>6</xdr:row>
      <xdr:rowOff>85725</xdr:rowOff>
    </xdr:to>
    <xdr:cxnSp macro="">
      <xdr:nvCxnSpPr>
        <xdr:cNvPr id="17" name="Straight Connector 16"/>
        <xdr:cNvCxnSpPr>
          <a:endCxn id="6" idx="0"/>
        </xdr:cNvCxnSpPr>
      </xdr:nvCxnSpPr>
      <xdr:spPr>
        <a:xfrm flipH="1">
          <a:off x="1300162" y="1028700"/>
          <a:ext cx="4763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andon\OneDrive\Upskill%20LLC\Program%20Materials\Excel%20Courses\Financial%20Modeling\Videos\Case%20Study%202%20-%20Financial%20Reporting\Case%20Study%202%20-%20Financial%20Reporting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andon\OneDrive\Upskill%20LLC\Program%20Materials\Excel%20Courses\Financial%20Modeling\Videos\Case%20Study%201%20-%20Financial%20Forecast\Case%20Study%201%20-%20Financial%20Forecast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Dashboard"/>
      <sheetName val="3. Sales Reconciliation"/>
      <sheetName val="4. Inc Statement Reconciliation"/>
      <sheetName val="5. Projected Sales"/>
      <sheetName val="6. Actual Sales Data"/>
      <sheetName val="7. Projected Income Statement"/>
      <sheetName val="8. Actual Income Statemen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A5" t="str">
            <v>Month</v>
          </cell>
          <cell r="B5" t="str">
            <v>Qty Sold - Lemonade</v>
          </cell>
          <cell r="C5" t="str">
            <v>Qty Sold - Pink Lemonade</v>
          </cell>
          <cell r="D5" t="str">
            <v>Total Qty Sold</v>
          </cell>
          <cell r="E5" t="str">
            <v>Sales Price - Lemonade</v>
          </cell>
          <cell r="F5" t="str">
            <v>Sales Price - Pink Lemonade</v>
          </cell>
          <cell r="G5" t="str">
            <v>Total Sales</v>
          </cell>
        </row>
        <row r="6">
          <cell r="A6" t="str">
            <v>January</v>
          </cell>
          <cell r="B6">
            <v>18</v>
          </cell>
          <cell r="C6">
            <v>8</v>
          </cell>
          <cell r="D6">
            <v>26</v>
          </cell>
          <cell r="E6">
            <v>2</v>
          </cell>
          <cell r="F6">
            <v>2.25</v>
          </cell>
          <cell r="G6">
            <v>54</v>
          </cell>
        </row>
        <row r="7">
          <cell r="A7" t="str">
            <v>February</v>
          </cell>
          <cell r="B7">
            <v>20</v>
          </cell>
          <cell r="C7">
            <v>7</v>
          </cell>
          <cell r="D7">
            <v>27</v>
          </cell>
          <cell r="E7">
            <v>2</v>
          </cell>
          <cell r="F7">
            <v>2.25</v>
          </cell>
          <cell r="G7">
            <v>55.75</v>
          </cell>
        </row>
        <row r="8">
          <cell r="A8" t="str">
            <v>March</v>
          </cell>
          <cell r="B8">
            <v>40</v>
          </cell>
          <cell r="C8">
            <v>13</v>
          </cell>
          <cell r="D8">
            <v>53</v>
          </cell>
          <cell r="E8">
            <v>2</v>
          </cell>
          <cell r="F8">
            <v>2.25</v>
          </cell>
          <cell r="G8">
            <v>109.25</v>
          </cell>
        </row>
        <row r="9">
          <cell r="A9" t="str">
            <v>April</v>
          </cell>
          <cell r="B9">
            <v>76</v>
          </cell>
          <cell r="C9">
            <v>30</v>
          </cell>
          <cell r="D9">
            <v>106</v>
          </cell>
          <cell r="E9">
            <v>2</v>
          </cell>
          <cell r="F9">
            <v>2.25</v>
          </cell>
          <cell r="G9">
            <v>219.5</v>
          </cell>
        </row>
        <row r="10">
          <cell r="A10" t="str">
            <v>May</v>
          </cell>
          <cell r="B10">
            <v>451</v>
          </cell>
          <cell r="C10">
            <v>156</v>
          </cell>
          <cell r="D10">
            <v>607</v>
          </cell>
          <cell r="E10">
            <v>2</v>
          </cell>
          <cell r="F10">
            <v>2.25</v>
          </cell>
          <cell r="G10">
            <v>1253</v>
          </cell>
        </row>
        <row r="11">
          <cell r="A11" t="str">
            <v>June</v>
          </cell>
          <cell r="B11">
            <v>717</v>
          </cell>
          <cell r="C11">
            <v>266</v>
          </cell>
          <cell r="D11">
            <v>983</v>
          </cell>
          <cell r="E11">
            <v>2</v>
          </cell>
          <cell r="F11">
            <v>2.25</v>
          </cell>
          <cell r="G11">
            <v>2032.5</v>
          </cell>
        </row>
        <row r="12">
          <cell r="A12" t="str">
            <v>July</v>
          </cell>
          <cell r="B12">
            <v>979</v>
          </cell>
          <cell r="C12">
            <v>335</v>
          </cell>
          <cell r="D12">
            <v>1314</v>
          </cell>
          <cell r="E12">
            <v>2</v>
          </cell>
          <cell r="F12">
            <v>2.25</v>
          </cell>
          <cell r="G12">
            <v>2711.75</v>
          </cell>
        </row>
        <row r="13">
          <cell r="A13" t="str">
            <v>August</v>
          </cell>
          <cell r="B13">
            <v>818</v>
          </cell>
          <cell r="C13">
            <v>341</v>
          </cell>
          <cell r="D13">
            <v>1159</v>
          </cell>
          <cell r="E13">
            <v>2</v>
          </cell>
          <cell r="F13">
            <v>2.25</v>
          </cell>
          <cell r="G13">
            <v>2403.25</v>
          </cell>
        </row>
        <row r="14">
          <cell r="A14" t="str">
            <v>September</v>
          </cell>
          <cell r="B14">
            <v>670</v>
          </cell>
          <cell r="C14">
            <v>269</v>
          </cell>
          <cell r="D14">
            <v>939</v>
          </cell>
          <cell r="E14">
            <v>2</v>
          </cell>
          <cell r="F14">
            <v>2.25</v>
          </cell>
          <cell r="G14">
            <v>1945.25</v>
          </cell>
        </row>
        <row r="15">
          <cell r="A15" t="str">
            <v>October</v>
          </cell>
          <cell r="B15">
            <v>168</v>
          </cell>
          <cell r="C15">
            <v>56</v>
          </cell>
          <cell r="D15">
            <v>224</v>
          </cell>
          <cell r="E15">
            <v>2</v>
          </cell>
          <cell r="F15">
            <v>2.25</v>
          </cell>
          <cell r="G15">
            <v>462</v>
          </cell>
        </row>
        <row r="16">
          <cell r="A16" t="str">
            <v>November</v>
          </cell>
          <cell r="B16">
            <v>67</v>
          </cell>
          <cell r="C16">
            <v>15</v>
          </cell>
          <cell r="D16">
            <v>82</v>
          </cell>
          <cell r="E16">
            <v>2</v>
          </cell>
          <cell r="F16">
            <v>2.25</v>
          </cell>
          <cell r="G16">
            <v>167.75</v>
          </cell>
        </row>
        <row r="17">
          <cell r="A17" t="str">
            <v>December</v>
          </cell>
          <cell r="B17">
            <v>33</v>
          </cell>
          <cell r="C17">
            <v>15</v>
          </cell>
          <cell r="D17">
            <v>48</v>
          </cell>
          <cell r="E17">
            <v>2</v>
          </cell>
          <cell r="F17">
            <v>2.25</v>
          </cell>
          <cell r="G17">
            <v>99.75</v>
          </cell>
        </row>
      </sheetData>
      <sheetData sheetId="7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33</v>
          </cell>
          <cell r="F9">
            <v>39.6</v>
          </cell>
          <cell r="G9">
            <v>77</v>
          </cell>
          <cell r="H9">
            <v>154</v>
          </cell>
          <cell r="I9">
            <v>851.40000000000009</v>
          </cell>
          <cell r="J9">
            <v>1392.6000000000001</v>
          </cell>
          <cell r="K9">
            <v>1702.8000000000002</v>
          </cell>
          <cell r="L9">
            <v>1702.8000000000002</v>
          </cell>
          <cell r="M9">
            <v>1313.4</v>
          </cell>
          <cell r="N9">
            <v>310.20000000000005</v>
          </cell>
          <cell r="O9">
            <v>123.20000000000002</v>
          </cell>
          <cell r="P9">
            <v>70.400000000000006</v>
          </cell>
          <cell r="Q9">
            <v>7770.4</v>
          </cell>
        </row>
        <row r="10">
          <cell r="B10" t="str">
            <v>Pink Lemonade</v>
          </cell>
          <cell r="E10">
            <v>18.112499999999997</v>
          </cell>
          <cell r="F10">
            <v>15.524999999999999</v>
          </cell>
          <cell r="G10">
            <v>31.049999999999997</v>
          </cell>
          <cell r="H10">
            <v>62.099999999999994</v>
          </cell>
          <cell r="I10">
            <v>333.78749999999997</v>
          </cell>
          <cell r="J10">
            <v>545.96249999999998</v>
          </cell>
          <cell r="K10">
            <v>667.57499999999993</v>
          </cell>
          <cell r="L10">
            <v>667.57499999999993</v>
          </cell>
          <cell r="M10">
            <v>517.49999999999989</v>
          </cell>
          <cell r="N10">
            <v>121.6125</v>
          </cell>
          <cell r="O10">
            <v>31.049999999999997</v>
          </cell>
          <cell r="P10">
            <v>31.049999999999997</v>
          </cell>
          <cell r="Q10">
            <v>3042.9</v>
          </cell>
        </row>
        <row r="11">
          <cell r="A11" t="str">
            <v>Total Income</v>
          </cell>
          <cell r="E11">
            <v>51.112499999999997</v>
          </cell>
          <cell r="F11">
            <v>55.125</v>
          </cell>
          <cell r="G11">
            <v>108.05</v>
          </cell>
          <cell r="H11">
            <v>216.1</v>
          </cell>
          <cell r="I11">
            <v>1185.1875</v>
          </cell>
          <cell r="J11">
            <v>1938.5625</v>
          </cell>
          <cell r="K11">
            <v>2370.375</v>
          </cell>
          <cell r="L11">
            <v>2370.375</v>
          </cell>
          <cell r="M11">
            <v>1830.9</v>
          </cell>
          <cell r="N11">
            <v>431.81250000000006</v>
          </cell>
          <cell r="O11">
            <v>154.25</v>
          </cell>
          <cell r="P11">
            <v>101.45</v>
          </cell>
          <cell r="Q11">
            <v>10813.3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13.53</v>
          </cell>
          <cell r="F14">
            <v>16.236000000000001</v>
          </cell>
          <cell r="G14">
            <v>31.569999999999997</v>
          </cell>
          <cell r="H14">
            <v>63.139999999999993</v>
          </cell>
          <cell r="I14">
            <v>349.07400000000001</v>
          </cell>
          <cell r="J14">
            <v>570.96600000000001</v>
          </cell>
          <cell r="K14">
            <v>698.14800000000002</v>
          </cell>
          <cell r="L14">
            <v>698.14800000000002</v>
          </cell>
          <cell r="M14">
            <v>538.49400000000003</v>
          </cell>
          <cell r="N14">
            <v>127.18200000000002</v>
          </cell>
          <cell r="O14">
            <v>50.512</v>
          </cell>
          <cell r="P14">
            <v>28.864000000000001</v>
          </cell>
          <cell r="Q14">
            <v>3185.8640000000005</v>
          </cell>
        </row>
        <row r="15">
          <cell r="B15" t="str">
            <v>Pink Lemonade</v>
          </cell>
          <cell r="E15">
            <v>5.3129999999999988</v>
          </cell>
          <cell r="F15">
            <v>4.5539999999999994</v>
          </cell>
          <cell r="G15">
            <v>9.1079999999999988</v>
          </cell>
          <cell r="H15">
            <v>18.215999999999998</v>
          </cell>
          <cell r="I15">
            <v>97.910999999999987</v>
          </cell>
          <cell r="J15">
            <v>160.149</v>
          </cell>
          <cell r="K15">
            <v>195.82199999999997</v>
          </cell>
          <cell r="L15">
            <v>195.82199999999997</v>
          </cell>
          <cell r="M15">
            <v>151.79999999999995</v>
          </cell>
          <cell r="N15">
            <v>35.673000000000002</v>
          </cell>
          <cell r="O15">
            <v>9.1079999999999988</v>
          </cell>
          <cell r="P15">
            <v>9.1079999999999988</v>
          </cell>
          <cell r="Q15">
            <v>892.58399999999983</v>
          </cell>
        </row>
        <row r="16">
          <cell r="A16" t="str">
            <v>Total Cost of Sales</v>
          </cell>
          <cell r="E16">
            <v>18.842999999999996</v>
          </cell>
          <cell r="F16">
            <v>20.79</v>
          </cell>
          <cell r="G16">
            <v>40.677999999999997</v>
          </cell>
          <cell r="H16">
            <v>81.355999999999995</v>
          </cell>
          <cell r="I16">
            <v>446.98500000000001</v>
          </cell>
          <cell r="J16">
            <v>731.11500000000001</v>
          </cell>
          <cell r="K16">
            <v>893.97</v>
          </cell>
          <cell r="L16">
            <v>893.97</v>
          </cell>
          <cell r="M16">
            <v>690.29399999999998</v>
          </cell>
          <cell r="N16">
            <v>162.85500000000002</v>
          </cell>
          <cell r="O16">
            <v>59.62</v>
          </cell>
          <cell r="P16">
            <v>37.972000000000001</v>
          </cell>
          <cell r="Q16">
            <v>4078.4480000000003</v>
          </cell>
        </row>
        <row r="18">
          <cell r="A18" t="str">
            <v>Gross Margin</v>
          </cell>
          <cell r="E18">
            <v>32.269500000000001</v>
          </cell>
          <cell r="F18">
            <v>34.335000000000001</v>
          </cell>
          <cell r="G18">
            <v>67.372</v>
          </cell>
          <cell r="H18">
            <v>134.744</v>
          </cell>
          <cell r="I18">
            <v>738.20249999999999</v>
          </cell>
          <cell r="J18">
            <v>1207.4475</v>
          </cell>
          <cell r="K18">
            <v>1476.405</v>
          </cell>
          <cell r="L18">
            <v>1476.405</v>
          </cell>
          <cell r="M18">
            <v>1140.6060000000002</v>
          </cell>
          <cell r="N18">
            <v>268.95750000000004</v>
          </cell>
          <cell r="O18">
            <v>94.63</v>
          </cell>
          <cell r="P18">
            <v>63.478000000000002</v>
          </cell>
          <cell r="Q18">
            <v>6734.851999999999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14.401730375000001</v>
          </cell>
          <cell r="F21">
            <v>15.554815375</v>
          </cell>
          <cell r="G21">
            <v>30.07963075</v>
          </cell>
          <cell r="H21">
            <v>60.1592615</v>
          </cell>
          <cell r="I21">
            <v>329.69143825000009</v>
          </cell>
          <cell r="J21">
            <v>539.11585350000007</v>
          </cell>
          <cell r="K21">
            <v>659.38287650000018</v>
          </cell>
          <cell r="L21">
            <v>659.38287650000018</v>
          </cell>
          <cell r="M21">
            <v>509.08772274999995</v>
          </cell>
          <cell r="N21">
            <v>120.26702299999998</v>
          </cell>
          <cell r="O21">
            <v>43.120460749999992</v>
          </cell>
          <cell r="P21">
            <v>28.494460750000002</v>
          </cell>
          <cell r="Q21">
            <v>3008.7381500000006</v>
          </cell>
        </row>
        <row r="22">
          <cell r="B22" t="str">
            <v>Payroll Taxes</v>
          </cell>
          <cell r="E22">
            <v>1.1017323736875</v>
          </cell>
          <cell r="F22">
            <v>1.1899433761875</v>
          </cell>
          <cell r="G22">
            <v>2.3010917523750001</v>
          </cell>
          <cell r="H22">
            <v>4.6021835047500002</v>
          </cell>
          <cell r="I22">
            <v>25.221395026125006</v>
          </cell>
          <cell r="J22">
            <v>41.242362792750008</v>
          </cell>
          <cell r="K22">
            <v>50.442790052250011</v>
          </cell>
          <cell r="L22">
            <v>50.442790052250011</v>
          </cell>
          <cell r="M22">
            <v>38.945210790374993</v>
          </cell>
          <cell r="N22">
            <v>9.2004272594999978</v>
          </cell>
          <cell r="O22">
            <v>3.2987152473749992</v>
          </cell>
          <cell r="P22">
            <v>2.1798262473750003</v>
          </cell>
          <cell r="Q22">
            <v>230.16846847500003</v>
          </cell>
        </row>
        <row r="23">
          <cell r="A23" t="str">
            <v>Total Salary and Wages</v>
          </cell>
          <cell r="E23">
            <v>15.503462748687502</v>
          </cell>
          <cell r="F23">
            <v>16.744758751187501</v>
          </cell>
          <cell r="G23">
            <v>32.380722502375001</v>
          </cell>
          <cell r="H23">
            <v>64.761445004750001</v>
          </cell>
          <cell r="I23">
            <v>354.91283327612507</v>
          </cell>
          <cell r="J23">
            <v>580.35821629275006</v>
          </cell>
          <cell r="K23">
            <v>709.82566655225014</v>
          </cell>
          <cell r="L23">
            <v>709.82566655225014</v>
          </cell>
          <cell r="M23">
            <v>548.03293354037498</v>
          </cell>
          <cell r="N23">
            <v>129.46745025949997</v>
          </cell>
          <cell r="O23">
            <v>46.419175997374992</v>
          </cell>
          <cell r="P23">
            <v>30.674286997375003</v>
          </cell>
          <cell r="Q23">
            <v>3238.9066184750004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14.334166666666667</v>
          </cell>
          <cell r="F26">
            <v>14.334166666666667</v>
          </cell>
          <cell r="G26">
            <v>14.334166666666667</v>
          </cell>
          <cell r="H26">
            <v>14.334166666666667</v>
          </cell>
          <cell r="I26">
            <v>14.334166666666667</v>
          </cell>
          <cell r="J26">
            <v>14.334166666666667</v>
          </cell>
          <cell r="K26">
            <v>14.334166666666667</v>
          </cell>
          <cell r="L26">
            <v>14.334166666666667</v>
          </cell>
          <cell r="M26">
            <v>14.334166666666667</v>
          </cell>
          <cell r="N26">
            <v>14.334166666666667</v>
          </cell>
          <cell r="O26">
            <v>14.334166666666667</v>
          </cell>
          <cell r="P26">
            <v>14.334166666666667</v>
          </cell>
          <cell r="Q26">
            <v>172.01000000000002</v>
          </cell>
        </row>
        <row r="27">
          <cell r="B27" t="str">
            <v>Miscellaneous</v>
          </cell>
          <cell r="E27">
            <v>3.09</v>
          </cell>
          <cell r="F27">
            <v>3.09</v>
          </cell>
          <cell r="G27">
            <v>3.09</v>
          </cell>
          <cell r="H27">
            <v>3.09</v>
          </cell>
          <cell r="I27">
            <v>3.09</v>
          </cell>
          <cell r="J27">
            <v>3.09</v>
          </cell>
          <cell r="K27">
            <v>3.09</v>
          </cell>
          <cell r="L27">
            <v>3.09</v>
          </cell>
          <cell r="M27">
            <v>3.09</v>
          </cell>
          <cell r="N27">
            <v>3.09</v>
          </cell>
          <cell r="O27">
            <v>3.09</v>
          </cell>
          <cell r="P27">
            <v>3.09</v>
          </cell>
          <cell r="Q27">
            <v>37.08</v>
          </cell>
        </row>
        <row r="28">
          <cell r="B28" t="str">
            <v>Insurance (Liability and Property)</v>
          </cell>
          <cell r="E28">
            <v>2.06</v>
          </cell>
          <cell r="F28">
            <v>2.06</v>
          </cell>
          <cell r="G28">
            <v>2.06</v>
          </cell>
          <cell r="H28">
            <v>2.06</v>
          </cell>
          <cell r="I28">
            <v>2.06</v>
          </cell>
          <cell r="J28">
            <v>2.06</v>
          </cell>
          <cell r="K28">
            <v>2.06</v>
          </cell>
          <cell r="L28">
            <v>2.06</v>
          </cell>
          <cell r="M28">
            <v>2.06</v>
          </cell>
          <cell r="N28">
            <v>2.06</v>
          </cell>
          <cell r="O28">
            <v>2.06</v>
          </cell>
          <cell r="P28">
            <v>2.06</v>
          </cell>
          <cell r="Q28">
            <v>24.719999999999995</v>
          </cell>
        </row>
        <row r="29">
          <cell r="B29" t="str">
            <v>Admin Expenses &amp; Supplies</v>
          </cell>
          <cell r="E29">
            <v>1.8025</v>
          </cell>
          <cell r="F29">
            <v>1.8025</v>
          </cell>
          <cell r="G29">
            <v>1.8025</v>
          </cell>
          <cell r="H29">
            <v>1.8025</v>
          </cell>
          <cell r="I29">
            <v>1.8025</v>
          </cell>
          <cell r="J29">
            <v>1.8025</v>
          </cell>
          <cell r="K29">
            <v>1.8025</v>
          </cell>
          <cell r="L29">
            <v>1.8025</v>
          </cell>
          <cell r="M29">
            <v>1.8025</v>
          </cell>
          <cell r="N29">
            <v>1.8025</v>
          </cell>
          <cell r="O29">
            <v>1.8025</v>
          </cell>
          <cell r="P29">
            <v>1.8025</v>
          </cell>
          <cell r="Q29">
            <v>21.629999999999995</v>
          </cell>
        </row>
        <row r="30">
          <cell r="B30" t="str">
            <v>Rent</v>
          </cell>
          <cell r="E30">
            <v>25.347544666666671</v>
          </cell>
          <cell r="F30">
            <v>25.347544666666671</v>
          </cell>
          <cell r="G30">
            <v>25.347544666666671</v>
          </cell>
          <cell r="H30">
            <v>25.347544666666671</v>
          </cell>
          <cell r="I30">
            <v>25.347544666666671</v>
          </cell>
          <cell r="J30">
            <v>25.347544666666671</v>
          </cell>
          <cell r="K30">
            <v>25.347544666666671</v>
          </cell>
          <cell r="L30">
            <v>25.347544666666671</v>
          </cell>
          <cell r="M30">
            <v>25.347544666666671</v>
          </cell>
          <cell r="N30">
            <v>25.347544666666671</v>
          </cell>
          <cell r="O30">
            <v>25.347544666666671</v>
          </cell>
          <cell r="P30">
            <v>25.347544666666671</v>
          </cell>
          <cell r="Q30">
            <v>304.17053600000003</v>
          </cell>
        </row>
        <row r="31">
          <cell r="B31" t="str">
            <v>Taxes-Other</v>
          </cell>
          <cell r="E31">
            <v>2.06</v>
          </cell>
          <cell r="F31">
            <v>2.06</v>
          </cell>
          <cell r="G31">
            <v>2.06</v>
          </cell>
          <cell r="H31">
            <v>2.06</v>
          </cell>
          <cell r="I31">
            <v>2.06</v>
          </cell>
          <cell r="J31">
            <v>2.06</v>
          </cell>
          <cell r="K31">
            <v>2.06</v>
          </cell>
          <cell r="L31">
            <v>2.06</v>
          </cell>
          <cell r="M31">
            <v>2.06</v>
          </cell>
          <cell r="N31">
            <v>2.06</v>
          </cell>
          <cell r="O31">
            <v>2.06</v>
          </cell>
          <cell r="P31">
            <v>2.06</v>
          </cell>
          <cell r="Q31">
            <v>24.719999999999995</v>
          </cell>
        </row>
        <row r="32">
          <cell r="A32" t="str">
            <v>Total Operating Expenses</v>
          </cell>
          <cell r="E32">
            <v>48.694211333333335</v>
          </cell>
          <cell r="F32">
            <v>48.694211333333335</v>
          </cell>
          <cell r="G32">
            <v>48.694211333333335</v>
          </cell>
          <cell r="H32">
            <v>48.694211333333335</v>
          </cell>
          <cell r="I32">
            <v>48.694211333333335</v>
          </cell>
          <cell r="J32">
            <v>48.694211333333335</v>
          </cell>
          <cell r="K32">
            <v>48.694211333333335</v>
          </cell>
          <cell r="L32">
            <v>48.694211333333335</v>
          </cell>
          <cell r="M32">
            <v>48.694211333333335</v>
          </cell>
          <cell r="N32">
            <v>48.694211333333335</v>
          </cell>
          <cell r="O32">
            <v>48.694211333333335</v>
          </cell>
          <cell r="P32">
            <v>48.694211333333335</v>
          </cell>
          <cell r="Q32">
            <v>584.33053600000005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-40.071054332159875</v>
          </cell>
          <cell r="F39">
            <v>-39.157792762567134</v>
          </cell>
          <cell r="G39">
            <v>-21.667105224514621</v>
          </cell>
          <cell r="H39">
            <v>13.414421237611995</v>
          </cell>
          <cell r="I39">
            <v>326.8123835905019</v>
          </cell>
          <cell r="J39">
            <v>570.70345686897031</v>
          </cell>
          <cell r="K39">
            <v>710.28557261319759</v>
          </cell>
          <cell r="L39">
            <v>710.37825239028302</v>
          </cell>
          <cell r="M39">
            <v>536.46528304442461</v>
          </cell>
          <cell r="N39">
            <v>83.476185951847285</v>
          </cell>
          <cell r="O39">
            <v>-7.7084940286362569</v>
          </cell>
          <cell r="P39">
            <v>-23.020428966195453</v>
          </cell>
          <cell r="Q39">
            <v>2819.9106803827622</v>
          </cell>
        </row>
        <row r="41">
          <cell r="A41" t="str">
            <v>Net Cash Flow</v>
          </cell>
          <cell r="E41">
            <v>-34.237720998826539</v>
          </cell>
          <cell r="F41">
            <v>-33.324459429233798</v>
          </cell>
          <cell r="G41">
            <v>-15.833771891181289</v>
          </cell>
          <cell r="H41">
            <v>19.247754570945329</v>
          </cell>
          <cell r="I41">
            <v>332.64571692383521</v>
          </cell>
          <cell r="J41">
            <v>576.53679020230368</v>
          </cell>
          <cell r="K41">
            <v>716.11890594653096</v>
          </cell>
          <cell r="L41">
            <v>716.21158572361639</v>
          </cell>
          <cell r="M41">
            <v>542.29861637775798</v>
          </cell>
          <cell r="N41">
            <v>89.309519285180613</v>
          </cell>
          <cell r="O41">
            <v>-1.8751606953029238</v>
          </cell>
          <cell r="P41">
            <v>-17.187095632862121</v>
          </cell>
          <cell r="Q41">
            <v>2889.9106803827622</v>
          </cell>
        </row>
      </sheetData>
      <sheetData sheetId="8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36</v>
          </cell>
          <cell r="F9">
            <v>40</v>
          </cell>
          <cell r="G9">
            <v>80</v>
          </cell>
          <cell r="H9">
            <v>152</v>
          </cell>
          <cell r="I9">
            <v>902</v>
          </cell>
          <cell r="J9">
            <v>1434</v>
          </cell>
          <cell r="K9">
            <v>1958</v>
          </cell>
          <cell r="L9">
            <v>1636</v>
          </cell>
          <cell r="M9">
            <v>1340</v>
          </cell>
          <cell r="N9">
            <v>336</v>
          </cell>
          <cell r="O9">
            <v>134</v>
          </cell>
          <cell r="P9">
            <v>66</v>
          </cell>
          <cell r="Q9">
            <v>8114</v>
          </cell>
        </row>
        <row r="10">
          <cell r="B10" t="str">
            <v>Pink Lemonade</v>
          </cell>
          <cell r="E10">
            <v>18</v>
          </cell>
          <cell r="F10">
            <v>15.75</v>
          </cell>
          <cell r="G10">
            <v>29.25</v>
          </cell>
          <cell r="H10">
            <v>67.5</v>
          </cell>
          <cell r="I10">
            <v>351</v>
          </cell>
          <cell r="J10">
            <v>598.5</v>
          </cell>
          <cell r="K10">
            <v>753.75</v>
          </cell>
          <cell r="L10">
            <v>767.25</v>
          </cell>
          <cell r="M10">
            <v>605.25</v>
          </cell>
          <cell r="N10">
            <v>126</v>
          </cell>
          <cell r="O10">
            <v>33.75</v>
          </cell>
          <cell r="P10">
            <v>33.75</v>
          </cell>
          <cell r="Q10">
            <v>3399.75</v>
          </cell>
        </row>
        <row r="11">
          <cell r="A11" t="str">
            <v>Total Income</v>
          </cell>
          <cell r="E11">
            <v>54</v>
          </cell>
          <cell r="F11">
            <v>55.75</v>
          </cell>
          <cell r="G11">
            <v>109.25</v>
          </cell>
          <cell r="H11">
            <v>219.5</v>
          </cell>
          <cell r="I11">
            <v>1253</v>
          </cell>
          <cell r="J11">
            <v>2032.5</v>
          </cell>
          <cell r="K11">
            <v>2711.75</v>
          </cell>
          <cell r="L11">
            <v>2403.25</v>
          </cell>
          <cell r="M11">
            <v>1945.25</v>
          </cell>
          <cell r="N11">
            <v>462</v>
          </cell>
          <cell r="O11">
            <v>167.75</v>
          </cell>
          <cell r="P11">
            <v>99.75</v>
          </cell>
          <cell r="Q11">
            <v>11513.75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14.76</v>
          </cell>
          <cell r="F14">
            <v>16.399999999999999</v>
          </cell>
          <cell r="G14">
            <v>32.799999999999997</v>
          </cell>
          <cell r="H14">
            <v>62.319999999999993</v>
          </cell>
          <cell r="I14">
            <v>369.82</v>
          </cell>
          <cell r="J14">
            <v>587.93999999999994</v>
          </cell>
          <cell r="K14">
            <v>802.78</v>
          </cell>
          <cell r="L14">
            <v>670.76</v>
          </cell>
          <cell r="M14">
            <v>549.4</v>
          </cell>
          <cell r="N14">
            <v>137.76</v>
          </cell>
          <cell r="O14">
            <v>54.94</v>
          </cell>
          <cell r="P14">
            <v>27.06</v>
          </cell>
          <cell r="Q14">
            <v>3326.74</v>
          </cell>
        </row>
        <row r="15">
          <cell r="B15" t="str">
            <v>Pink Lemonade</v>
          </cell>
          <cell r="E15">
            <v>5.28</v>
          </cell>
          <cell r="F15">
            <v>4.62</v>
          </cell>
          <cell r="G15">
            <v>8.58</v>
          </cell>
          <cell r="H15">
            <v>19.8</v>
          </cell>
          <cell r="I15">
            <v>102.96</v>
          </cell>
          <cell r="J15">
            <v>175.56</v>
          </cell>
          <cell r="K15">
            <v>221.1</v>
          </cell>
          <cell r="L15">
            <v>225.06</v>
          </cell>
          <cell r="M15">
            <v>177.54</v>
          </cell>
          <cell r="N15">
            <v>36.96</v>
          </cell>
          <cell r="O15">
            <v>9.9</v>
          </cell>
          <cell r="P15">
            <v>9.9</v>
          </cell>
          <cell r="Q15">
            <v>997.26</v>
          </cell>
        </row>
        <row r="16">
          <cell r="A16" t="str">
            <v>Total Cost of Sales</v>
          </cell>
          <cell r="E16">
            <v>20.04</v>
          </cell>
          <cell r="F16">
            <v>21.02</v>
          </cell>
          <cell r="G16">
            <v>41.379999999999995</v>
          </cell>
          <cell r="H16">
            <v>82.11999999999999</v>
          </cell>
          <cell r="I16">
            <v>472.78</v>
          </cell>
          <cell r="J16">
            <v>763.5</v>
          </cell>
          <cell r="K16">
            <v>1023.88</v>
          </cell>
          <cell r="L16">
            <v>895.81999999999994</v>
          </cell>
          <cell r="M16">
            <v>726.93999999999994</v>
          </cell>
          <cell r="N16">
            <v>174.72</v>
          </cell>
          <cell r="O16">
            <v>64.84</v>
          </cell>
          <cell r="P16">
            <v>36.96</v>
          </cell>
          <cell r="Q16">
            <v>4324</v>
          </cell>
        </row>
        <row r="18">
          <cell r="A18" t="str">
            <v>Gross Margin</v>
          </cell>
          <cell r="E18">
            <v>33.96</v>
          </cell>
          <cell r="F18">
            <v>34.730000000000004</v>
          </cell>
          <cell r="G18">
            <v>67.87</v>
          </cell>
          <cell r="H18">
            <v>137.38</v>
          </cell>
          <cell r="I18">
            <v>780.22</v>
          </cell>
          <cell r="J18">
            <v>1269</v>
          </cell>
          <cell r="K18">
            <v>1687.87</v>
          </cell>
          <cell r="L18">
            <v>1507.43</v>
          </cell>
          <cell r="M18">
            <v>1218.31</v>
          </cell>
          <cell r="N18">
            <v>287.27999999999997</v>
          </cell>
          <cell r="O18">
            <v>102.91</v>
          </cell>
          <cell r="P18">
            <v>62.79</v>
          </cell>
          <cell r="Q18">
            <v>7189.75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15.282</v>
          </cell>
          <cell r="F21">
            <v>15.628500000000003</v>
          </cell>
          <cell r="G21">
            <v>30.541500000000003</v>
          </cell>
          <cell r="H21">
            <v>61.820999999999998</v>
          </cell>
          <cell r="I21">
            <v>351.09900000000005</v>
          </cell>
          <cell r="J21">
            <v>571.05000000000007</v>
          </cell>
          <cell r="K21">
            <v>759.54149999999993</v>
          </cell>
          <cell r="L21">
            <v>678.34350000000006</v>
          </cell>
          <cell r="M21">
            <v>548.23950000000002</v>
          </cell>
          <cell r="N21">
            <v>129.27599999999998</v>
          </cell>
          <cell r="O21">
            <v>46.3095</v>
          </cell>
          <cell r="P21">
            <v>28.255500000000001</v>
          </cell>
          <cell r="Q21">
            <v>3235.3874999999998</v>
          </cell>
        </row>
        <row r="22">
          <cell r="B22" t="str">
            <v>Payroll Taxes</v>
          </cell>
          <cell r="E22">
            <v>1.169073</v>
          </cell>
          <cell r="F22">
            <v>1.1955802500000001</v>
          </cell>
          <cell r="G22">
            <v>2.3364247500000004</v>
          </cell>
          <cell r="H22">
            <v>4.7293064999999999</v>
          </cell>
          <cell r="I22">
            <v>26.859073500000004</v>
          </cell>
          <cell r="J22">
            <v>43.685325000000006</v>
          </cell>
          <cell r="K22">
            <v>58.104924749999995</v>
          </cell>
          <cell r="L22">
            <v>51.893277750000003</v>
          </cell>
          <cell r="M22">
            <v>41.940321750000003</v>
          </cell>
          <cell r="N22">
            <v>9.8896139999999981</v>
          </cell>
          <cell r="O22">
            <v>3.54267675</v>
          </cell>
          <cell r="P22">
            <v>2.1615457500000002</v>
          </cell>
          <cell r="Q22">
            <v>247.50714375000001</v>
          </cell>
        </row>
        <row r="23">
          <cell r="A23" t="str">
            <v>Total Salary and Wages</v>
          </cell>
          <cell r="E23">
            <v>16.451073000000001</v>
          </cell>
          <cell r="F23">
            <v>16.824080250000002</v>
          </cell>
          <cell r="G23">
            <v>32.877924750000005</v>
          </cell>
          <cell r="H23">
            <v>66.550306500000005</v>
          </cell>
          <cell r="I23">
            <v>377.95807350000007</v>
          </cell>
          <cell r="J23">
            <v>614.7353250000001</v>
          </cell>
          <cell r="K23">
            <v>817.64642474999994</v>
          </cell>
          <cell r="L23">
            <v>730.2367777500001</v>
          </cell>
          <cell r="M23">
            <v>590.17982174999997</v>
          </cell>
          <cell r="N23">
            <v>139.16561399999998</v>
          </cell>
          <cell r="O23">
            <v>49.852176749999998</v>
          </cell>
          <cell r="P23">
            <v>30.41704575</v>
          </cell>
          <cell r="Q23">
            <v>3482.8946437499999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15.337558333333334</v>
          </cell>
          <cell r="F26">
            <v>15.050875000000001</v>
          </cell>
          <cell r="G26">
            <v>15.337558333333334</v>
          </cell>
          <cell r="H26">
            <v>17.487683333333333</v>
          </cell>
          <cell r="I26">
            <v>14.047483333333332</v>
          </cell>
          <cell r="J26">
            <v>14.764191666666665</v>
          </cell>
          <cell r="K26">
            <v>17.487683333333333</v>
          </cell>
          <cell r="L26">
            <v>13.904141666666668</v>
          </cell>
          <cell r="M26">
            <v>16.054266666666667</v>
          </cell>
          <cell r="N26">
            <v>14.477508333333333</v>
          </cell>
          <cell r="O26">
            <v>17.774366666666666</v>
          </cell>
          <cell r="P26">
            <v>15.337558333333334</v>
          </cell>
          <cell r="Q26">
            <v>187.06087500000001</v>
          </cell>
        </row>
        <row r="27">
          <cell r="B27" t="str">
            <v>Miscellaneous</v>
          </cell>
          <cell r="E27">
            <v>3.0590999999999995</v>
          </cell>
          <cell r="F27">
            <v>3.5534999999999997</v>
          </cell>
          <cell r="G27">
            <v>3.0282</v>
          </cell>
          <cell r="H27">
            <v>3.6152999999999995</v>
          </cell>
          <cell r="I27">
            <v>3.3989999999999996</v>
          </cell>
          <cell r="J27">
            <v>3.1208999999999998</v>
          </cell>
          <cell r="K27">
            <v>3.5225999999999997</v>
          </cell>
          <cell r="L27">
            <v>3.4607999999999999</v>
          </cell>
          <cell r="M27">
            <v>3.8315999999999999</v>
          </cell>
          <cell r="N27">
            <v>3.3062999999999998</v>
          </cell>
          <cell r="O27">
            <v>3.1518000000000002</v>
          </cell>
          <cell r="P27">
            <v>3.6152999999999995</v>
          </cell>
          <cell r="Q27">
            <v>40.664399999999993</v>
          </cell>
        </row>
        <row r="28">
          <cell r="B28" t="str">
            <v>Insurance (Liability and Property)</v>
          </cell>
          <cell r="E28">
            <v>2.5750000000000002</v>
          </cell>
          <cell r="F28">
            <v>2.2454000000000001</v>
          </cell>
          <cell r="G28">
            <v>1.9982</v>
          </cell>
          <cell r="H28">
            <v>2.3483999999999998</v>
          </cell>
          <cell r="I28">
            <v>2.3071999999999999</v>
          </cell>
          <cell r="J28">
            <v>2.4102000000000001</v>
          </cell>
          <cell r="K28">
            <v>2.3896000000000002</v>
          </cell>
          <cell r="L28">
            <v>2.1424000000000003</v>
          </cell>
          <cell r="M28">
            <v>2.472</v>
          </cell>
          <cell r="N28">
            <v>2.3690000000000002</v>
          </cell>
          <cell r="O28">
            <v>2.4102000000000001</v>
          </cell>
          <cell r="P28">
            <v>2.1424000000000003</v>
          </cell>
          <cell r="Q28">
            <v>27.810000000000002</v>
          </cell>
        </row>
        <row r="29">
          <cell r="B29" t="str">
            <v>Admin Expenses &amp; Supplies</v>
          </cell>
          <cell r="E29">
            <v>1.8385499999999999</v>
          </cell>
          <cell r="F29">
            <v>2.1630000000000003</v>
          </cell>
          <cell r="G29">
            <v>2.0728749999999998</v>
          </cell>
          <cell r="H29">
            <v>2.181025</v>
          </cell>
          <cell r="I29">
            <v>2.0548500000000001</v>
          </cell>
          <cell r="J29">
            <v>2.0728749999999998</v>
          </cell>
          <cell r="K29">
            <v>2.0548500000000001</v>
          </cell>
          <cell r="L29">
            <v>1.8205250000000002</v>
          </cell>
          <cell r="M29">
            <v>2.1630000000000003</v>
          </cell>
          <cell r="N29">
            <v>2.0909</v>
          </cell>
          <cell r="O29">
            <v>2.1990500000000002</v>
          </cell>
          <cell r="P29">
            <v>1.8926249999999998</v>
          </cell>
          <cell r="Q29">
            <v>24.604125</v>
          </cell>
        </row>
        <row r="30">
          <cell r="B30" t="str">
            <v>Rent</v>
          </cell>
          <cell r="E30">
            <v>26.614921900000002</v>
          </cell>
          <cell r="F30">
            <v>30.670529046666669</v>
          </cell>
          <cell r="G30">
            <v>26.361446453333336</v>
          </cell>
          <cell r="H30">
            <v>26.10797100666667</v>
          </cell>
          <cell r="I30">
            <v>30.670529046666669</v>
          </cell>
          <cell r="J30">
            <v>30.417053600000003</v>
          </cell>
          <cell r="K30">
            <v>30.924004493333342</v>
          </cell>
          <cell r="L30">
            <v>26.10797100666667</v>
          </cell>
          <cell r="M30">
            <v>30.670529046666669</v>
          </cell>
          <cell r="N30">
            <v>28.896200920000005</v>
          </cell>
          <cell r="O30">
            <v>29.149676366666672</v>
          </cell>
          <cell r="P30">
            <v>25.854495560000004</v>
          </cell>
          <cell r="Q30">
            <v>342.44532844666674</v>
          </cell>
        </row>
        <row r="31">
          <cell r="B31" t="str">
            <v>Taxes-Other</v>
          </cell>
          <cell r="E31">
            <v>2.5543999999999998</v>
          </cell>
          <cell r="F31">
            <v>2.3071999999999999</v>
          </cell>
          <cell r="G31">
            <v>2.1217999999999999</v>
          </cell>
          <cell r="H31">
            <v>2.266</v>
          </cell>
          <cell r="I31">
            <v>2.5543999999999998</v>
          </cell>
          <cell r="J31">
            <v>2.4102000000000001</v>
          </cell>
          <cell r="K31">
            <v>2.3483999999999998</v>
          </cell>
          <cell r="L31">
            <v>2.1424000000000003</v>
          </cell>
          <cell r="M31">
            <v>2.5131999999999999</v>
          </cell>
          <cell r="N31">
            <v>2.1836000000000002</v>
          </cell>
          <cell r="O31">
            <v>2.0394000000000001</v>
          </cell>
          <cell r="P31">
            <v>2.3071999999999999</v>
          </cell>
          <cell r="Q31">
            <v>27.748200000000004</v>
          </cell>
        </row>
        <row r="32">
          <cell r="A32" t="str">
            <v>Total Operating Expenses</v>
          </cell>
          <cell r="E32">
            <v>51.979530233333335</v>
          </cell>
          <cell r="F32">
            <v>55.990504046666672</v>
          </cell>
          <cell r="G32">
            <v>50.920079786666669</v>
          </cell>
          <cell r="H32">
            <v>54.006379340000002</v>
          </cell>
          <cell r="I32">
            <v>55.033462380000003</v>
          </cell>
          <cell r="J32">
            <v>55.195420266666673</v>
          </cell>
          <cell r="K32">
            <v>58.727137826666677</v>
          </cell>
          <cell r="L32">
            <v>49.578237673333341</v>
          </cell>
          <cell r="M32">
            <v>57.704595713333333</v>
          </cell>
          <cell r="N32">
            <v>53.323509253333341</v>
          </cell>
          <cell r="O32">
            <v>56.724493033333339</v>
          </cell>
          <cell r="P32">
            <v>51.149578893333334</v>
          </cell>
          <cell r="Q32">
            <v>650.33292844666676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-42.613483483472365</v>
          </cell>
          <cell r="F39">
            <v>-46.138406974712971</v>
          </cell>
          <cell r="G39">
            <v>-23.892175925472955</v>
          </cell>
          <cell r="H39">
            <v>8.9493917356953201</v>
          </cell>
          <cell r="I39">
            <v>339.44539231996026</v>
          </cell>
          <cell r="J39">
            <v>591.3776392283869</v>
          </cell>
          <cell r="K39">
            <v>803.89688792211439</v>
          </cell>
          <cell r="L39">
            <v>720.10811485253316</v>
          </cell>
          <cell r="M39">
            <v>563.01201045479934</v>
          </cell>
          <cell r="N39">
            <v>87.471224291347198</v>
          </cell>
          <cell r="O39">
            <v>-10.891776481261264</v>
          </cell>
          <cell r="P39">
            <v>-25.906555278820456</v>
          </cell>
          <cell r="Q39">
            <v>2964.8182626610969</v>
          </cell>
        </row>
        <row r="41">
          <cell r="A41" t="str">
            <v>Net Cash Flow</v>
          </cell>
          <cell r="E41">
            <v>-36.780150150139029</v>
          </cell>
          <cell r="F41">
            <v>-40.305073641379636</v>
          </cell>
          <cell r="G41">
            <v>-18.058842592139623</v>
          </cell>
          <cell r="H41">
            <v>14.782725069028654</v>
          </cell>
          <cell r="I41">
            <v>345.27872565329358</v>
          </cell>
          <cell r="J41">
            <v>597.21097256172027</v>
          </cell>
          <cell r="K41">
            <v>809.73022125544776</v>
          </cell>
          <cell r="L41">
            <v>725.94144818586653</v>
          </cell>
          <cell r="M41">
            <v>568.84534378813271</v>
          </cell>
          <cell r="N41">
            <v>93.304557624680527</v>
          </cell>
          <cell r="O41">
            <v>-5.0584431479279308</v>
          </cell>
          <cell r="P41">
            <v>-20.073221945487123</v>
          </cell>
          <cell r="Q41">
            <v>3034.8182626610969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Projected Income Statement"/>
      <sheetName val="3. Projected Cash Flows"/>
      <sheetName val="4. Projected Balance Sheet"/>
      <sheetName val="5. Projected Sales"/>
      <sheetName val="6. Projected Payroll"/>
      <sheetName val="7. Projected Oper. Expenses"/>
      <sheetName val="8. Business Loan"/>
      <sheetName val="9. 2015 Income Statement"/>
      <sheetName val="10. 2015 Balance Sheet"/>
      <sheetName val="11. 2015 Sales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H2" t="str">
            <v>Loan Month</v>
          </cell>
          <cell r="I2" t="str">
            <v>Principle PMT</v>
          </cell>
          <cell r="J2" t="str">
            <v>Interest PMT</v>
          </cell>
          <cell r="K2" t="str">
            <v>Total Payment</v>
          </cell>
          <cell r="L2" t="str">
            <v>Loan Balance</v>
          </cell>
        </row>
        <row r="3">
          <cell r="H3">
            <v>1</v>
          </cell>
          <cell r="I3">
            <v>12.334849397382094</v>
          </cell>
          <cell r="J3">
            <v>3.3333333333333339</v>
          </cell>
          <cell r="K3">
            <v>15.668182730715428</v>
          </cell>
          <cell r="L3">
            <v>487.66515060261793</v>
          </cell>
        </row>
        <row r="4">
          <cell r="H4">
            <v>2</v>
          </cell>
          <cell r="I4">
            <v>12.417081726697974</v>
          </cell>
          <cell r="J4">
            <v>3.2511010040174533</v>
          </cell>
          <cell r="K4">
            <v>15.668182730715428</v>
          </cell>
          <cell r="L4">
            <v>475.24806887591996</v>
          </cell>
        </row>
        <row r="5">
          <cell r="H5">
            <v>3</v>
          </cell>
          <cell r="I5">
            <v>12.499862271542627</v>
          </cell>
          <cell r="J5">
            <v>3.1683204591727998</v>
          </cell>
          <cell r="K5">
            <v>15.668182730715426</v>
          </cell>
          <cell r="L5">
            <v>462.74820660437734</v>
          </cell>
        </row>
        <row r="6">
          <cell r="H6">
            <v>4</v>
          </cell>
          <cell r="I6">
            <v>12.583194686686243</v>
          </cell>
          <cell r="J6">
            <v>3.0849880440291826</v>
          </cell>
          <cell r="K6">
            <v>15.668182730715426</v>
          </cell>
          <cell r="L6">
            <v>450.16501191769112</v>
          </cell>
        </row>
        <row r="7">
          <cell r="H7">
            <v>5</v>
          </cell>
          <cell r="I7">
            <v>12.667082651264153</v>
          </cell>
          <cell r="J7">
            <v>3.0011000794512741</v>
          </cell>
          <cell r="K7">
            <v>15.668182730715426</v>
          </cell>
          <cell r="L7">
            <v>437.49792926642698</v>
          </cell>
        </row>
        <row r="8">
          <cell r="H8">
            <v>6</v>
          </cell>
          <cell r="I8">
            <v>12.751529868939246</v>
          </cell>
          <cell r="J8">
            <v>2.9166528617761802</v>
          </cell>
          <cell r="K8">
            <v>15.668182730715426</v>
          </cell>
          <cell r="L8">
            <v>424.74639939748772</v>
          </cell>
        </row>
        <row r="9">
          <cell r="H9">
            <v>7</v>
          </cell>
          <cell r="I9">
            <v>12.836540068065508</v>
          </cell>
          <cell r="J9">
            <v>2.8316426626499185</v>
          </cell>
          <cell r="K9">
            <v>15.668182730715426</v>
          </cell>
          <cell r="L9">
            <v>411.9098593294222</v>
          </cell>
        </row>
        <row r="10">
          <cell r="H10">
            <v>8</v>
          </cell>
          <cell r="I10">
            <v>12.922117001852612</v>
          </cell>
          <cell r="J10">
            <v>2.7460657288628147</v>
          </cell>
          <cell r="K10">
            <v>15.668182730715428</v>
          </cell>
          <cell r="L10">
            <v>398.98774232756961</v>
          </cell>
        </row>
        <row r="11">
          <cell r="H11">
            <v>9</v>
          </cell>
          <cell r="I11">
            <v>13.008264448531628</v>
          </cell>
          <cell r="J11">
            <v>2.6599182821837974</v>
          </cell>
          <cell r="K11">
            <v>15.668182730715426</v>
          </cell>
          <cell r="L11">
            <v>385.97947787903797</v>
          </cell>
        </row>
        <row r="12">
          <cell r="H12">
            <v>10</v>
          </cell>
          <cell r="I12">
            <v>13.094986211521839</v>
          </cell>
          <cell r="J12">
            <v>2.5731965191935866</v>
          </cell>
          <cell r="K12">
            <v>15.668182730715426</v>
          </cell>
          <cell r="L12">
            <v>372.88449166751616</v>
          </cell>
        </row>
        <row r="13">
          <cell r="H13">
            <v>11</v>
          </cell>
          <cell r="I13">
            <v>13.182286119598654</v>
          </cell>
          <cell r="J13">
            <v>2.485896611116774</v>
          </cell>
          <cell r="K13">
            <v>15.668182730715428</v>
          </cell>
          <cell r="L13">
            <v>359.70220554791752</v>
          </cell>
        </row>
        <row r="14">
          <cell r="H14">
            <v>12</v>
          </cell>
          <cell r="I14">
            <v>13.270168027062644</v>
          </cell>
          <cell r="J14">
            <v>2.398014703652783</v>
          </cell>
          <cell r="K14">
            <v>15.668182730715426</v>
          </cell>
          <cell r="L14">
            <v>346.43203752085486</v>
          </cell>
        </row>
        <row r="15">
          <cell r="H15">
            <v>13</v>
          </cell>
          <cell r="I15">
            <v>13.358635813909729</v>
          </cell>
          <cell r="J15">
            <v>2.309546916805699</v>
          </cell>
          <cell r="K15">
            <v>15.668182730715428</v>
          </cell>
          <cell r="L15">
            <v>333.07340170694511</v>
          </cell>
        </row>
        <row r="16">
          <cell r="H16">
            <v>14</v>
          </cell>
          <cell r="I16">
            <v>13.447693386002459</v>
          </cell>
          <cell r="J16">
            <v>2.2204893447129677</v>
          </cell>
          <cell r="K16">
            <v>15.668182730715428</v>
          </cell>
          <cell r="L16">
            <v>319.62570832094264</v>
          </cell>
        </row>
        <row r="17">
          <cell r="H17">
            <v>15</v>
          </cell>
          <cell r="I17">
            <v>13.537344675242474</v>
          </cell>
          <cell r="J17">
            <v>2.1308380554729514</v>
          </cell>
          <cell r="K17">
            <v>15.668182730715426</v>
          </cell>
          <cell r="L17">
            <v>306.08836364570016</v>
          </cell>
        </row>
        <row r="18">
          <cell r="H18">
            <v>16</v>
          </cell>
          <cell r="I18">
            <v>13.627593639744093</v>
          </cell>
          <cell r="J18">
            <v>2.0405890909713347</v>
          </cell>
          <cell r="K18">
            <v>15.668182730715428</v>
          </cell>
          <cell r="L18">
            <v>292.46077000595608</v>
          </cell>
        </row>
        <row r="19">
          <cell r="H19">
            <v>17</v>
          </cell>
          <cell r="I19">
            <v>13.718444264009053</v>
          </cell>
          <cell r="J19">
            <v>1.949738466706374</v>
          </cell>
          <cell r="K19">
            <v>15.668182730715426</v>
          </cell>
          <cell r="L19">
            <v>278.74232574194701</v>
          </cell>
        </row>
        <row r="20">
          <cell r="H20">
            <v>18</v>
          </cell>
          <cell r="I20">
            <v>13.809900559102445</v>
          </cell>
          <cell r="J20">
            <v>1.8582821716129805</v>
          </cell>
          <cell r="K20">
            <v>15.668182730715426</v>
          </cell>
          <cell r="L20">
            <v>264.93242518284455</v>
          </cell>
        </row>
        <row r="21">
          <cell r="H21">
            <v>19</v>
          </cell>
          <cell r="I21">
            <v>13.901966562829797</v>
          </cell>
          <cell r="J21">
            <v>1.766216167885631</v>
          </cell>
          <cell r="K21">
            <v>15.668182730715428</v>
          </cell>
          <cell r="L21">
            <v>251.03045862001477</v>
          </cell>
        </row>
        <row r="22">
          <cell r="H22">
            <v>20</v>
          </cell>
          <cell r="I22">
            <v>13.994646339915329</v>
          </cell>
          <cell r="J22">
            <v>1.6735363908000989</v>
          </cell>
          <cell r="K22">
            <v>15.668182730715428</v>
          </cell>
          <cell r="L22">
            <v>237.03581228009944</v>
          </cell>
        </row>
        <row r="23">
          <cell r="H23">
            <v>21</v>
          </cell>
          <cell r="I23">
            <v>14.087943982181431</v>
          </cell>
          <cell r="J23">
            <v>1.5802387485339966</v>
          </cell>
          <cell r="K23">
            <v>15.668182730715428</v>
          </cell>
          <cell r="L23">
            <v>222.94786829791801</v>
          </cell>
        </row>
        <row r="24">
          <cell r="H24">
            <v>22</v>
          </cell>
          <cell r="I24">
            <v>14.181863608729307</v>
          </cell>
          <cell r="J24">
            <v>1.4863191219861203</v>
          </cell>
          <cell r="K24">
            <v>15.668182730715428</v>
          </cell>
          <cell r="L24">
            <v>208.76600468918869</v>
          </cell>
        </row>
        <row r="25">
          <cell r="H25">
            <v>23</v>
          </cell>
          <cell r="I25">
            <v>14.276409366120834</v>
          </cell>
          <cell r="J25">
            <v>1.3917733645945916</v>
          </cell>
          <cell r="K25">
            <v>15.668182730715426</v>
          </cell>
          <cell r="L25">
            <v>194.48959532306785</v>
          </cell>
        </row>
        <row r="26">
          <cell r="H26">
            <v>24</v>
          </cell>
          <cell r="I26">
            <v>14.371585428561639</v>
          </cell>
          <cell r="J26">
            <v>1.296597302153786</v>
          </cell>
          <cell r="K26">
            <v>15.668182730715426</v>
          </cell>
          <cell r="L26">
            <v>180.1180098945062</v>
          </cell>
        </row>
        <row r="27">
          <cell r="H27">
            <v>25</v>
          </cell>
          <cell r="I27">
            <v>14.467395998085387</v>
          </cell>
          <cell r="J27">
            <v>1.2007867326300419</v>
          </cell>
          <cell r="K27">
            <v>15.668182730715429</v>
          </cell>
          <cell r="L27">
            <v>165.65061389642082</v>
          </cell>
        </row>
        <row r="28">
          <cell r="H28">
            <v>26</v>
          </cell>
          <cell r="I28">
            <v>14.563845304739287</v>
          </cell>
          <cell r="J28">
            <v>1.1043374259761392</v>
          </cell>
          <cell r="K28">
            <v>15.668182730715426</v>
          </cell>
          <cell r="L28">
            <v>151.08676859168153</v>
          </cell>
        </row>
        <row r="29">
          <cell r="H29">
            <v>27</v>
          </cell>
          <cell r="I29">
            <v>14.660937606770883</v>
          </cell>
          <cell r="J29">
            <v>1.0072451239445439</v>
          </cell>
          <cell r="K29">
            <v>15.668182730715428</v>
          </cell>
          <cell r="L29">
            <v>136.42583098491065</v>
          </cell>
        </row>
        <row r="30">
          <cell r="H30">
            <v>28</v>
          </cell>
          <cell r="I30">
            <v>14.758677190816023</v>
          </cell>
          <cell r="J30">
            <v>0.90950553989940452</v>
          </cell>
          <cell r="K30">
            <v>15.668182730715428</v>
          </cell>
          <cell r="L30">
            <v>121.66715379409462</v>
          </cell>
        </row>
        <row r="31">
          <cell r="H31">
            <v>29</v>
          </cell>
          <cell r="I31">
            <v>14.857068372088129</v>
          </cell>
          <cell r="J31">
            <v>0.81111435862729775</v>
          </cell>
          <cell r="K31">
            <v>15.668182730715428</v>
          </cell>
          <cell r="L31">
            <v>106.81008542200649</v>
          </cell>
        </row>
        <row r="32">
          <cell r="H32">
            <v>30</v>
          </cell>
          <cell r="I32">
            <v>14.956115494568715</v>
          </cell>
          <cell r="J32">
            <v>0.7120672361467103</v>
          </cell>
          <cell r="K32">
            <v>15.668182730715426</v>
          </cell>
          <cell r="L32">
            <v>91.853969927437774</v>
          </cell>
        </row>
        <row r="33">
          <cell r="H33">
            <v>31</v>
          </cell>
          <cell r="I33">
            <v>15.055822931199174</v>
          </cell>
          <cell r="J33">
            <v>0.61235979951625219</v>
          </cell>
          <cell r="K33">
            <v>15.668182730715426</v>
          </cell>
          <cell r="L33">
            <v>76.7981469962386</v>
          </cell>
        </row>
        <row r="34">
          <cell r="H34">
            <v>32</v>
          </cell>
          <cell r="I34">
            <v>15.156195084073834</v>
          </cell>
          <cell r="J34">
            <v>0.51198764664159113</v>
          </cell>
          <cell r="K34">
            <v>15.668182730715426</v>
          </cell>
          <cell r="L34">
            <v>61.641951912164764</v>
          </cell>
        </row>
        <row r="35">
          <cell r="H35">
            <v>33</v>
          </cell>
          <cell r="I35">
            <v>15.257236384634329</v>
          </cell>
          <cell r="J35">
            <v>0.41094634608109876</v>
          </cell>
          <cell r="K35">
            <v>15.668182730715428</v>
          </cell>
          <cell r="L35">
            <v>46.384715527530432</v>
          </cell>
        </row>
        <row r="36">
          <cell r="H36">
            <v>34</v>
          </cell>
          <cell r="I36">
            <v>15.358951293865225</v>
          </cell>
          <cell r="J36">
            <v>0.30923143685020321</v>
          </cell>
          <cell r="K36">
            <v>15.668182730715428</v>
          </cell>
          <cell r="L36">
            <v>31.025764233665207</v>
          </cell>
        </row>
        <row r="37">
          <cell r="H37">
            <v>35</v>
          </cell>
          <cell r="I37">
            <v>15.461344302490989</v>
          </cell>
          <cell r="J37">
            <v>0.20683842822443504</v>
          </cell>
          <cell r="K37">
            <v>15.668182730715424</v>
          </cell>
          <cell r="L37">
            <v>15.564419931174218</v>
          </cell>
        </row>
        <row r="38">
          <cell r="H38">
            <v>36</v>
          </cell>
          <cell r="I38">
            <v>15.564419931174266</v>
          </cell>
          <cell r="J38">
            <v>0.10376279954116177</v>
          </cell>
          <cell r="K38">
            <v>15.668182730715428</v>
          </cell>
          <cell r="L38">
            <v>-4.7961634663806763E-14</v>
          </cell>
        </row>
        <row r="39"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</row>
        <row r="40"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</row>
        <row r="41"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</row>
        <row r="42"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</row>
        <row r="43"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</row>
        <row r="44"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</row>
        <row r="45"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</row>
        <row r="46"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</row>
        <row r="47"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</row>
        <row r="48"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</row>
        <row r="49"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</row>
        <row r="50"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</row>
        <row r="51"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</row>
        <row r="52"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</row>
        <row r="53"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</row>
        <row r="54"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</row>
        <row r="55"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</row>
        <row r="56"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</row>
        <row r="57"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</row>
        <row r="58"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</row>
        <row r="59"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</row>
        <row r="60"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</row>
        <row r="61"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</row>
        <row r="62"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3:D18"/>
  <sheetViews>
    <sheetView showGridLines="0" tabSelected="1" zoomScaleNormal="100" workbookViewId="0">
      <selection activeCell="E23" sqref="E23"/>
    </sheetView>
  </sheetViews>
  <sheetFormatPr defaultRowHeight="15"/>
  <cols>
    <col min="1" max="16384" width="9.140625" style="322"/>
  </cols>
  <sheetData>
    <row r="13" spans="2:4">
      <c r="B13" s="321"/>
      <c r="C13" s="321"/>
      <c r="D13" s="321"/>
    </row>
    <row r="14" spans="2:4">
      <c r="B14" s="320" t="s">
        <v>139</v>
      </c>
      <c r="C14" s="321"/>
      <c r="D14" s="321"/>
    </row>
    <row r="15" spans="2:4">
      <c r="B15" s="323" t="s">
        <v>70</v>
      </c>
      <c r="C15" s="324"/>
      <c r="D15" s="321"/>
    </row>
    <row r="16" spans="2:4">
      <c r="B16" s="321"/>
      <c r="C16" s="321"/>
      <c r="D16" s="321"/>
    </row>
    <row r="17" spans="2:4">
      <c r="B17" s="320" t="s">
        <v>138</v>
      </c>
      <c r="C17" s="321"/>
      <c r="D17" s="321"/>
    </row>
    <row r="18" spans="2:4">
      <c r="B18" s="323" t="s">
        <v>70</v>
      </c>
      <c r="C18" s="325"/>
      <c r="D18" s="321"/>
    </row>
  </sheetData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B2:C25"/>
  <sheetViews>
    <sheetView showGridLines="0" zoomScaleNormal="100" workbookViewId="0">
      <selection activeCell="Y22" sqref="Y22"/>
    </sheetView>
  </sheetViews>
  <sheetFormatPr defaultRowHeight="12"/>
  <sheetData>
    <row r="2" spans="2:3" ht="18">
      <c r="B2" s="97" t="s">
        <v>67</v>
      </c>
    </row>
    <row r="4" spans="2:3">
      <c r="B4" s="13" t="s">
        <v>140</v>
      </c>
    </row>
    <row r="5" spans="2:3">
      <c r="B5" s="13" t="s">
        <v>141</v>
      </c>
    </row>
    <row r="6" spans="2:3">
      <c r="B6" s="13" t="s">
        <v>142</v>
      </c>
    </row>
    <row r="8" spans="2:3" ht="18">
      <c r="B8" s="97" t="s">
        <v>68</v>
      </c>
    </row>
    <row r="10" spans="2:3">
      <c r="B10" s="320" t="s">
        <v>139</v>
      </c>
    </row>
    <row r="11" spans="2:3">
      <c r="B11" s="98" t="s">
        <v>70</v>
      </c>
      <c r="C11" s="58"/>
    </row>
    <row r="13" spans="2:3">
      <c r="B13" s="320" t="s">
        <v>138</v>
      </c>
    </row>
    <row r="14" spans="2:3">
      <c r="B14" s="98" t="s">
        <v>70</v>
      </c>
      <c r="C14" s="99"/>
    </row>
    <row r="16" spans="2:3" ht="18">
      <c r="B16" s="97" t="s">
        <v>69</v>
      </c>
    </row>
    <row r="18" spans="2:3">
      <c r="B18" s="15" t="s">
        <v>71</v>
      </c>
    </row>
    <row r="19" spans="2:3">
      <c r="B19" s="98" t="s">
        <v>70</v>
      </c>
      <c r="C19">
        <v>47</v>
      </c>
    </row>
    <row r="21" spans="2:3">
      <c r="B21" s="15" t="s">
        <v>72</v>
      </c>
    </row>
    <row r="22" spans="2:3">
      <c r="B22" s="98" t="s">
        <v>70</v>
      </c>
      <c r="C22" s="100">
        <v>47</v>
      </c>
    </row>
    <row r="24" spans="2:3">
      <c r="B24" s="15" t="s">
        <v>73</v>
      </c>
    </row>
    <row r="25" spans="2:3">
      <c r="B25" s="98" t="s">
        <v>70</v>
      </c>
      <c r="C25" s="73">
        <v>47</v>
      </c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99"/>
    <pageSetUpPr fitToPage="1"/>
  </sheetPr>
  <dimension ref="A1:V82"/>
  <sheetViews>
    <sheetView showGridLines="0" view="pageBreakPreview" topLeftCell="A7" zoomScale="85" zoomScaleNormal="80" zoomScaleSheetLayoutView="85" workbookViewId="0">
      <selection activeCell="F9" sqref="F9"/>
    </sheetView>
  </sheetViews>
  <sheetFormatPr defaultColWidth="8.85546875" defaultRowHeight="14.25"/>
  <cols>
    <col min="1" max="1" width="2.5703125" style="219" customWidth="1"/>
    <col min="2" max="2" width="20.42578125" style="219" customWidth="1"/>
    <col min="3" max="3" width="18.85546875" style="219" bestFit="1" customWidth="1"/>
    <col min="4" max="4" width="15.85546875" style="219" bestFit="1" customWidth="1"/>
    <col min="5" max="5" width="12" style="219" bestFit="1" customWidth="1"/>
    <col min="6" max="6" width="15.28515625" style="219" customWidth="1"/>
    <col min="7" max="7" width="15.85546875" style="219" customWidth="1"/>
    <col min="8" max="9" width="15.28515625" style="219" customWidth="1"/>
    <col min="10" max="10" width="15.140625" style="219" customWidth="1"/>
    <col min="11" max="11" width="15.42578125" style="219" customWidth="1"/>
    <col min="12" max="15" width="15" style="219" bestFit="1" customWidth="1"/>
    <col min="16" max="43" width="15" style="13" bestFit="1" customWidth="1"/>
    <col min="44" max="44" width="16.42578125" style="13" bestFit="1" customWidth="1"/>
    <col min="45" max="56" width="15" style="13" bestFit="1" customWidth="1"/>
    <col min="57" max="57" width="14.85546875" style="13" bestFit="1" customWidth="1"/>
    <col min="58" max="61" width="15" style="13" bestFit="1" customWidth="1"/>
    <col min="62" max="62" width="14.85546875" style="13" bestFit="1" customWidth="1"/>
    <col min="63" max="64" width="15" style="13" bestFit="1" customWidth="1"/>
    <col min="65" max="65" width="14.85546875" style="13" bestFit="1" customWidth="1"/>
    <col min="66" max="70" width="15" style="13" bestFit="1" customWidth="1"/>
    <col min="71" max="73" width="14.85546875" style="13" bestFit="1" customWidth="1"/>
    <col min="74" max="82" width="15" style="13" bestFit="1" customWidth="1"/>
    <col min="83" max="83" width="14.85546875" style="13" bestFit="1" customWidth="1"/>
    <col min="84" max="84" width="15" style="13" bestFit="1" customWidth="1"/>
    <col min="85" max="85" width="14.85546875" style="13" bestFit="1" customWidth="1"/>
    <col min="86" max="91" width="15" style="13" bestFit="1" customWidth="1"/>
    <col min="92" max="92" width="14.85546875" style="13" bestFit="1" customWidth="1"/>
    <col min="93" max="93" width="15" style="13" bestFit="1" customWidth="1"/>
    <col min="94" max="94" width="14.85546875" style="13" bestFit="1" customWidth="1"/>
    <col min="95" max="98" width="15" style="13" bestFit="1" customWidth="1"/>
    <col min="99" max="100" width="14.85546875" style="13" bestFit="1" customWidth="1"/>
    <col min="101" max="101" width="15" style="13" bestFit="1" customWidth="1"/>
    <col min="102" max="102" width="14.85546875" style="13" bestFit="1" customWidth="1"/>
    <col min="103" max="106" width="15" style="13" bestFit="1" customWidth="1"/>
    <col min="107" max="107" width="14.85546875" style="13" bestFit="1" customWidth="1"/>
    <col min="108" max="108" width="15" style="13" bestFit="1" customWidth="1"/>
    <col min="109" max="118" width="8.85546875" style="13"/>
    <col min="119" max="120" width="12.28515625" style="13" bestFit="1" customWidth="1"/>
    <col min="121" max="143" width="8.85546875" style="13"/>
    <col min="144" max="144" width="12.7109375" style="13" bestFit="1" customWidth="1"/>
    <col min="145" max="16384" width="8.85546875" style="13"/>
  </cols>
  <sheetData>
    <row r="1" spans="1:22" ht="15.75">
      <c r="A1" s="3" t="s">
        <v>39</v>
      </c>
    </row>
    <row r="2" spans="1:22" ht="15.75">
      <c r="A2" s="3" t="s">
        <v>131</v>
      </c>
    </row>
    <row r="4" spans="1:22" ht="15">
      <c r="B4" s="330" t="s">
        <v>121</v>
      </c>
      <c r="C4" s="333"/>
      <c r="D4" s="331"/>
      <c r="E4" s="262"/>
      <c r="F4" s="125"/>
      <c r="G4" s="334" t="s">
        <v>116</v>
      </c>
      <c r="H4" s="335"/>
      <c r="I4" s="336"/>
      <c r="J4" s="125"/>
      <c r="K4" s="125"/>
      <c r="L4" s="263" t="s">
        <v>75</v>
      </c>
      <c r="M4" s="264"/>
      <c r="N4" s="265" t="s">
        <v>76</v>
      </c>
      <c r="O4" s="266" t="s">
        <v>77</v>
      </c>
    </row>
    <row r="5" spans="1:22" ht="15">
      <c r="B5" s="113"/>
      <c r="C5" s="220"/>
      <c r="D5" s="110" t="s">
        <v>79</v>
      </c>
      <c r="E5" s="138"/>
      <c r="F5" s="125"/>
      <c r="G5" s="111"/>
      <c r="H5" s="221" t="s">
        <v>117</v>
      </c>
      <c r="I5" s="222" t="s">
        <v>118</v>
      </c>
      <c r="J5" s="125"/>
      <c r="K5" s="125"/>
      <c r="L5" s="111"/>
      <c r="M5" s="125"/>
      <c r="N5" s="125"/>
      <c r="O5" s="223"/>
    </row>
    <row r="6" spans="1:22" ht="15">
      <c r="B6" s="108" t="s">
        <v>78</v>
      </c>
      <c r="C6" s="125"/>
      <c r="D6" s="223"/>
      <c r="E6" s="139"/>
      <c r="F6" s="125"/>
      <c r="G6" s="115" t="s">
        <v>100</v>
      </c>
      <c r="H6" s="215">
        <v>0.03</v>
      </c>
      <c r="I6" s="150">
        <f>+F29*(1+H6)</f>
        <v>1810.6354550000001</v>
      </c>
      <c r="J6" s="125"/>
      <c r="K6" s="125"/>
      <c r="L6" s="115" t="s">
        <v>123</v>
      </c>
      <c r="M6" s="147"/>
      <c r="N6" s="176">
        <f ca="1">+C59</f>
        <v>0.11459589592496511</v>
      </c>
      <c r="O6" s="177">
        <f ca="1">+C75</f>
        <v>0.17999992322982283</v>
      </c>
    </row>
    <row r="7" spans="1:22">
      <c r="B7" s="116" t="s">
        <v>80</v>
      </c>
      <c r="C7" s="157">
        <v>11304.207823184948</v>
      </c>
      <c r="D7" s="143">
        <f ca="1">C7/C$9</f>
        <v>0.97500000000000098</v>
      </c>
      <c r="E7" s="140"/>
      <c r="F7" s="125"/>
      <c r="G7" s="111" t="s">
        <v>101</v>
      </c>
      <c r="H7" s="215">
        <v>0.03</v>
      </c>
      <c r="I7" s="150">
        <f t="shared" ref="I7:I15" si="0">+I6*(1+H7)</f>
        <v>1864.9545186500002</v>
      </c>
      <c r="J7" s="125"/>
      <c r="K7" s="125"/>
      <c r="L7" s="115" t="s">
        <v>124</v>
      </c>
      <c r="M7" s="147"/>
      <c r="N7" s="178">
        <f ca="1">NPV(N6,F59:K59)</f>
        <v>11594.059305830193</v>
      </c>
      <c r="O7" s="217">
        <f ca="1">NPV(O6,F75:K75)</f>
        <v>3478.2177917181721</v>
      </c>
    </row>
    <row r="8" spans="1:22">
      <c r="B8" s="116" t="s">
        <v>82</v>
      </c>
      <c r="C8" s="158">
        <f ca="1">+C9*D8</f>
        <v>289.85148264576759</v>
      </c>
      <c r="D8" s="154">
        <v>2.5000000000000001E-2</v>
      </c>
      <c r="E8" s="140"/>
      <c r="F8" s="125"/>
      <c r="G8" s="115" t="s">
        <v>102</v>
      </c>
      <c r="H8" s="215">
        <v>0.03</v>
      </c>
      <c r="I8" s="150">
        <f t="shared" si="0"/>
        <v>1920.9031542095001</v>
      </c>
      <c r="J8" s="125"/>
      <c r="K8" s="125"/>
      <c r="L8" s="111"/>
      <c r="M8" s="125"/>
      <c r="N8" s="125"/>
      <c r="O8" s="223"/>
      <c r="Q8" s="332" t="s">
        <v>125</v>
      </c>
      <c r="R8" s="332"/>
      <c r="S8" s="332"/>
      <c r="T8" s="332"/>
      <c r="U8" s="332"/>
      <c r="V8" s="332"/>
    </row>
    <row r="9" spans="1:22" ht="15">
      <c r="B9" s="174" t="s">
        <v>84</v>
      </c>
      <c r="C9" s="267">
        <f ca="1">+SUM(C7:C8)</f>
        <v>11594.059305830715</v>
      </c>
      <c r="D9" s="268">
        <f ca="1">SUM(D7:D8)</f>
        <v>1.0000000000000009</v>
      </c>
      <c r="E9" s="140"/>
      <c r="F9" s="125"/>
      <c r="G9" s="111" t="s">
        <v>103</v>
      </c>
      <c r="H9" s="215">
        <v>0.03</v>
      </c>
      <c r="I9" s="150">
        <f t="shared" si="0"/>
        <v>1978.5302488357852</v>
      </c>
      <c r="J9" s="125"/>
      <c r="K9" s="125"/>
      <c r="L9" s="111" t="s">
        <v>137</v>
      </c>
      <c r="M9" s="125"/>
      <c r="N9" s="309">
        <f ca="1">+D59</f>
        <v>1.6017216701016093</v>
      </c>
      <c r="O9" s="310">
        <f ca="1">+D75</f>
        <v>2.0930369747401958</v>
      </c>
    </row>
    <row r="10" spans="1:22">
      <c r="B10" s="116"/>
      <c r="C10" s="114"/>
      <c r="D10" s="143"/>
      <c r="E10" s="140"/>
      <c r="F10" s="125"/>
      <c r="G10" s="115" t="s">
        <v>104</v>
      </c>
      <c r="H10" s="215">
        <v>0.03</v>
      </c>
      <c r="I10" s="150">
        <f t="shared" si="0"/>
        <v>2037.8861563008588</v>
      </c>
      <c r="J10" s="125"/>
      <c r="K10" s="125"/>
      <c r="L10" s="111"/>
      <c r="M10" s="125"/>
      <c r="N10" s="125"/>
      <c r="O10" s="223"/>
      <c r="Q10" s="210">
        <f ca="1">+O6</f>
        <v>0.17999992322982283</v>
      </c>
      <c r="R10" s="211">
        <v>7.4999999999999997E-2</v>
      </c>
      <c r="S10" s="211">
        <v>7.7499999999999999E-2</v>
      </c>
      <c r="T10" s="211">
        <v>0.08</v>
      </c>
      <c r="U10" s="212">
        <v>8.2500000000000004E-2</v>
      </c>
      <c r="V10" s="212">
        <v>8.5000000000000006E-2</v>
      </c>
    </row>
    <row r="11" spans="1:22" ht="15">
      <c r="B11" s="108" t="s">
        <v>86</v>
      </c>
      <c r="C11" s="119"/>
      <c r="D11" s="144"/>
      <c r="E11" s="141"/>
      <c r="F11" s="125"/>
      <c r="G11" s="111" t="s">
        <v>105</v>
      </c>
      <c r="H11" s="215">
        <v>0.03</v>
      </c>
      <c r="I11" s="150">
        <f t="shared" si="0"/>
        <v>2099.0227409898848</v>
      </c>
      <c r="J11" s="125"/>
      <c r="K11" s="125"/>
      <c r="L11" s="111" t="s">
        <v>136</v>
      </c>
      <c r="M11" s="125"/>
      <c r="N11" s="178">
        <f ca="1">-MIN(E65:O65)</f>
        <v>11594.059305830704</v>
      </c>
      <c r="O11" s="217">
        <f ca="1">-MIN(E81:O81)</f>
        <v>3478.2177917487061</v>
      </c>
      <c r="Q11" s="13">
        <v>14000</v>
      </c>
      <c r="R11" s="213">
        <f t="dataTable" ref="R11:V17" dt2D="1" dtr="1" r1="C19" r2="C7" ca="1"/>
        <v>2.4815652678450206E-2</v>
      </c>
      <c r="S11" s="213">
        <v>1.8913610617321552E-2</v>
      </c>
      <c r="T11" s="213">
        <v>1.2931832266429799E-2</v>
      </c>
      <c r="U11" s="213">
        <v>6.8680478502944897E-3</v>
      </c>
      <c r="V11" s="213">
        <v>7.1985271924090988E-4</v>
      </c>
    </row>
    <row r="12" spans="1:22">
      <c r="B12" s="116" t="s">
        <v>87</v>
      </c>
      <c r="C12" s="155">
        <f ca="1">+C9*D12</f>
        <v>8115.8415140814996</v>
      </c>
      <c r="D12" s="154">
        <v>0.7</v>
      </c>
      <c r="E12" s="142"/>
      <c r="F12" s="125"/>
      <c r="G12" s="115" t="s">
        <v>106</v>
      </c>
      <c r="H12" s="215">
        <v>0.03</v>
      </c>
      <c r="I12" s="150">
        <f t="shared" si="0"/>
        <v>2161.9934232195815</v>
      </c>
      <c r="J12" s="125"/>
      <c r="K12" s="125"/>
      <c r="L12" s="117"/>
      <c r="M12" s="240"/>
      <c r="N12" s="240"/>
      <c r="O12" s="304"/>
      <c r="Q12" s="13">
        <f>+Q11-1000</f>
        <v>13000</v>
      </c>
      <c r="R12" s="213">
        <v>8.3931935856909501E-2</v>
      </c>
      <c r="S12" s="213">
        <v>7.8646297425353451E-2</v>
      </c>
      <c r="T12" s="213">
        <v>7.3303265263989781E-2</v>
      </c>
      <c r="U12" s="213">
        <v>6.7901717282669249E-2</v>
      </c>
      <c r="V12" s="213">
        <v>6.244047504600303E-2</v>
      </c>
    </row>
    <row r="13" spans="1:22">
      <c r="B13" s="113" t="s">
        <v>88</v>
      </c>
      <c r="C13" s="156">
        <f ca="1">C14-C12</f>
        <v>3478.2177917492045</v>
      </c>
      <c r="D13" s="145">
        <f>1-D12</f>
        <v>0.30000000000000004</v>
      </c>
      <c r="E13" s="224"/>
      <c r="F13" s="125"/>
      <c r="G13" s="111" t="s">
        <v>107</v>
      </c>
      <c r="H13" s="215">
        <v>0.03</v>
      </c>
      <c r="I13" s="150">
        <f t="shared" si="0"/>
        <v>2226.8532259161689</v>
      </c>
      <c r="J13" s="125"/>
      <c r="K13" s="125"/>
      <c r="L13" s="225"/>
      <c r="M13" s="147"/>
      <c r="N13" s="178"/>
      <c r="O13" s="125"/>
      <c r="Q13" s="13">
        <f t="shared" ref="Q13:Q17" si="1">+Q12-1000</f>
        <v>12000</v>
      </c>
      <c r="R13" s="213">
        <v>0.14478965315532433</v>
      </c>
      <c r="S13" s="213">
        <v>0.13997445759537586</v>
      </c>
      <c r="T13" s="213">
        <v>0.13511607142041626</v>
      </c>
      <c r="U13" s="213">
        <v>0.13021395635379185</v>
      </c>
      <c r="V13" s="213">
        <v>0.12526754949528951</v>
      </c>
    </row>
    <row r="14" spans="1:22" ht="15">
      <c r="B14" s="175" t="s">
        <v>89</v>
      </c>
      <c r="C14" s="159">
        <f ca="1">+C9</f>
        <v>11594.059305830715</v>
      </c>
      <c r="D14" s="146">
        <f>SUM(D12:D13)</f>
        <v>1</v>
      </c>
      <c r="E14" s="139"/>
      <c r="F14" s="125"/>
      <c r="G14" s="111" t="s">
        <v>108</v>
      </c>
      <c r="H14" s="215">
        <v>0.03</v>
      </c>
      <c r="I14" s="150">
        <f t="shared" si="0"/>
        <v>2293.6588226936542</v>
      </c>
      <c r="J14" s="125"/>
      <c r="K14" s="125"/>
      <c r="L14" s="125"/>
      <c r="M14" s="125"/>
      <c r="N14" s="226"/>
      <c r="O14" s="125"/>
      <c r="Q14" s="13">
        <f t="shared" si="1"/>
        <v>11000</v>
      </c>
      <c r="R14" s="213">
        <v>0.2092458402216284</v>
      </c>
      <c r="S14" s="213">
        <v>0.20479803109948302</v>
      </c>
      <c r="T14" s="213">
        <v>0.20031647920830098</v>
      </c>
      <c r="U14" s="213">
        <v>0.19580096215333054</v>
      </c>
      <c r="V14" s="213">
        <v>0.19125124650549541</v>
      </c>
    </row>
    <row r="15" spans="1:22">
      <c r="B15" s="125"/>
      <c r="C15" s="125"/>
      <c r="D15" s="125"/>
      <c r="E15" s="140"/>
      <c r="F15" s="125"/>
      <c r="G15" s="149" t="s">
        <v>114</v>
      </c>
      <c r="H15" s="216">
        <v>0.03</v>
      </c>
      <c r="I15" s="151">
        <f t="shared" si="0"/>
        <v>2362.4685873744638</v>
      </c>
      <c r="J15" s="125"/>
      <c r="K15" s="125"/>
      <c r="L15" s="125"/>
      <c r="M15" s="125"/>
      <c r="N15" s="125"/>
      <c r="O15" s="125"/>
      <c r="Q15" s="13">
        <f t="shared" si="1"/>
        <v>10000</v>
      </c>
      <c r="R15" s="213">
        <v>0.2794584351818501</v>
      </c>
      <c r="S15" s="213">
        <v>0.27530035600713054</v>
      </c>
      <c r="T15" s="213">
        <v>0.27111500414852485</v>
      </c>
      <c r="U15" s="213">
        <v>0.26690233536786723</v>
      </c>
      <c r="V15" s="213">
        <v>0.26266230035613414</v>
      </c>
    </row>
    <row r="16" spans="1:22" ht="15">
      <c r="B16" s="125"/>
      <c r="C16" s="125"/>
      <c r="D16" s="125"/>
      <c r="E16" s="141"/>
      <c r="F16" s="125"/>
      <c r="G16" s="125"/>
      <c r="H16" s="125"/>
      <c r="I16" s="125"/>
      <c r="J16" s="125"/>
      <c r="K16" s="125"/>
      <c r="L16" s="125"/>
      <c r="M16" s="153"/>
      <c r="N16" s="125"/>
      <c r="O16" s="125"/>
      <c r="Q16" s="13">
        <f t="shared" si="1"/>
        <v>9000</v>
      </c>
      <c r="R16" s="213">
        <v>0.35824726672961571</v>
      </c>
      <c r="S16" s="213">
        <v>0.35431646461230537</v>
      </c>
      <c r="T16" s="213">
        <v>0.35036287791345333</v>
      </c>
      <c r="U16" s="213">
        <v>0.34638656549356761</v>
      </c>
      <c r="V16" s="213">
        <v>0.3423875836823469</v>
      </c>
    </row>
    <row r="17" spans="2:22" ht="15">
      <c r="B17" s="330" t="s">
        <v>74</v>
      </c>
      <c r="C17" s="331"/>
      <c r="D17" s="125"/>
      <c r="E17" s="147"/>
      <c r="F17" s="125"/>
      <c r="G17" s="125"/>
      <c r="H17" s="125"/>
      <c r="I17" s="125"/>
      <c r="J17" s="125"/>
      <c r="K17" s="123"/>
      <c r="L17" s="125"/>
      <c r="M17" s="125"/>
      <c r="N17" s="125"/>
      <c r="O17" s="125"/>
      <c r="Q17" s="13">
        <f t="shared" si="1"/>
        <v>8000</v>
      </c>
      <c r="R17" s="213">
        <v>0.44965276315254887</v>
      </c>
      <c r="S17" s="213">
        <v>0.44589533199656728</v>
      </c>
      <c r="T17" s="213">
        <v>0.44211820125808687</v>
      </c>
      <c r="U17" s="213">
        <v>0.43832149008605414</v>
      </c>
      <c r="V17" s="213">
        <v>0.43450531597797615</v>
      </c>
    </row>
    <row r="18" spans="2:22" s="124" customFormat="1" ht="15">
      <c r="B18" s="111" t="s">
        <v>113</v>
      </c>
      <c r="C18" s="150">
        <f ca="1">+C12</f>
        <v>8115.8415140814996</v>
      </c>
      <c r="D18" s="191"/>
      <c r="E18" s="191"/>
      <c r="F18" s="191"/>
      <c r="G18" s="191"/>
      <c r="H18" s="191"/>
      <c r="I18" s="191"/>
      <c r="J18" s="126"/>
      <c r="K18" s="121"/>
      <c r="L18" s="191"/>
      <c r="M18" s="191"/>
      <c r="N18" s="191"/>
      <c r="O18" s="191"/>
      <c r="Q18" s="13"/>
    </row>
    <row r="19" spans="2:22" s="124" customFormat="1" ht="15">
      <c r="B19" s="111" t="s">
        <v>81</v>
      </c>
      <c r="C19" s="305">
        <v>0.08</v>
      </c>
      <c r="D19" s="191"/>
      <c r="E19" s="191"/>
      <c r="F19" s="191"/>
      <c r="G19" s="191"/>
      <c r="H19" s="191"/>
      <c r="I19" s="191"/>
      <c r="J19" s="126"/>
      <c r="K19" s="121"/>
      <c r="L19" s="191"/>
      <c r="M19" s="191"/>
      <c r="N19" s="191"/>
      <c r="O19" s="191"/>
    </row>
    <row r="20" spans="2:22" s="124" customFormat="1" ht="15">
      <c r="B20" s="115" t="s">
        <v>83</v>
      </c>
      <c r="C20" s="306">
        <v>10</v>
      </c>
      <c r="D20" s="191"/>
      <c r="E20" s="191"/>
      <c r="F20" s="191"/>
      <c r="G20" s="191"/>
      <c r="H20" s="191"/>
      <c r="I20" s="191"/>
      <c r="J20" s="126"/>
      <c r="K20" s="121"/>
      <c r="L20" s="191"/>
      <c r="M20" s="191"/>
      <c r="N20" s="191"/>
      <c r="O20" s="191"/>
      <c r="Q20" s="332" t="s">
        <v>126</v>
      </c>
      <c r="R20" s="332"/>
      <c r="S20" s="332"/>
      <c r="T20" s="332"/>
      <c r="U20" s="332"/>
      <c r="V20" s="332"/>
    </row>
    <row r="21" spans="2:22" s="124" customFormat="1" ht="15">
      <c r="B21" s="116"/>
      <c r="C21" s="152"/>
      <c r="D21" s="191"/>
      <c r="E21" s="191"/>
      <c r="F21" s="191"/>
      <c r="G21" s="191"/>
      <c r="H21" s="191"/>
      <c r="I21" s="191"/>
      <c r="J21" s="126"/>
      <c r="K21" s="121"/>
      <c r="L21" s="191"/>
      <c r="M21" s="191"/>
      <c r="N21" s="191"/>
      <c r="O21" s="191"/>
      <c r="Q21" s="13"/>
      <c r="R21" s="13"/>
      <c r="S21" s="13"/>
      <c r="T21" s="13"/>
      <c r="U21" s="13"/>
      <c r="V21" s="13"/>
    </row>
    <row r="22" spans="2:22" s="124" customFormat="1" ht="15">
      <c r="B22" s="218" t="s">
        <v>85</v>
      </c>
      <c r="C22" s="118">
        <f ca="1">+PMT(C19,C20,-C18)</f>
        <v>1209.4997111900643</v>
      </c>
      <c r="D22" s="191"/>
      <c r="E22" s="191"/>
      <c r="F22" s="191"/>
      <c r="G22" s="191"/>
      <c r="H22" s="191"/>
      <c r="I22" s="191"/>
      <c r="J22" s="126"/>
      <c r="K22" s="121"/>
      <c r="L22" s="191"/>
      <c r="M22" s="191"/>
      <c r="N22" s="191"/>
      <c r="O22" s="191"/>
      <c r="Q22" s="210">
        <f ca="1">+O6</f>
        <v>0.17999992322982283</v>
      </c>
      <c r="R22" s="211">
        <v>0.6</v>
      </c>
      <c r="S22" s="211">
        <v>0.65</v>
      </c>
      <c r="T22" s="211">
        <v>0.7</v>
      </c>
      <c r="U22" s="212">
        <v>0.75</v>
      </c>
      <c r="V22" s="212">
        <v>0.8</v>
      </c>
    </row>
    <row r="23" spans="2:22" s="124" customFormat="1" ht="15">
      <c r="B23" s="191"/>
      <c r="C23" s="191"/>
      <c r="D23" s="191"/>
      <c r="E23" s="191"/>
      <c r="F23" s="191"/>
      <c r="G23" s="191"/>
      <c r="H23" s="191"/>
      <c r="I23" s="191"/>
      <c r="J23" s="126"/>
      <c r="K23" s="121"/>
      <c r="L23" s="191"/>
      <c r="M23" s="191"/>
      <c r="N23" s="191"/>
      <c r="O23" s="191"/>
      <c r="Q23" s="13">
        <v>14000</v>
      </c>
      <c r="R23" s="213">
        <f t="dataTable" ref="R23:V29" dt2D="1" dtr="1" r1="D12" r2="C7" ca="1"/>
        <v>2.9422191411611731E-2</v>
      </c>
      <c r="S23" s="213">
        <v>2.2320135254006779E-2</v>
      </c>
      <c r="T23" s="213">
        <v>1.2931832266429799E-2</v>
      </c>
      <c r="U23" s="213">
        <v>-5.4439106192738507E-5</v>
      </c>
      <c r="V23" s="213">
        <v>-1.9185148620802783E-2</v>
      </c>
    </row>
    <row r="24" spans="2:22" s="124" customFormat="1" ht="15">
      <c r="B24" s="191"/>
      <c r="C24" s="191"/>
      <c r="D24" s="225"/>
      <c r="E24" s="191"/>
      <c r="F24" s="121"/>
      <c r="G24" s="191"/>
      <c r="H24" s="191"/>
      <c r="I24" s="191"/>
      <c r="J24" s="126"/>
      <c r="K24" s="121"/>
      <c r="L24" s="191"/>
      <c r="M24" s="191"/>
      <c r="N24" s="191"/>
      <c r="O24" s="191"/>
      <c r="Q24" s="13">
        <f>+Q23-1000</f>
        <v>13000</v>
      </c>
      <c r="R24" s="213">
        <v>7.4985248918224778E-2</v>
      </c>
      <c r="S24" s="213">
        <v>7.4254488540567154E-2</v>
      </c>
      <c r="T24" s="213">
        <v>7.3303265263989781E-2</v>
      </c>
      <c r="U24" s="213">
        <v>7.2014228037734496E-2</v>
      </c>
      <c r="V24" s="213">
        <v>7.0168948306167156E-2</v>
      </c>
    </row>
    <row r="25" spans="2:22">
      <c r="B25" s="125"/>
      <c r="C25" s="125"/>
      <c r="D25" s="125"/>
      <c r="E25" s="125"/>
      <c r="F25" s="127"/>
      <c r="G25" s="147"/>
      <c r="H25" s="127"/>
      <c r="I25" s="127"/>
      <c r="J25" s="127"/>
      <c r="K25" s="127"/>
      <c r="L25" s="125"/>
      <c r="M25" s="125"/>
      <c r="N25" s="125"/>
      <c r="O25" s="125"/>
      <c r="Q25" s="13">
        <f t="shared" ref="Q25:Q29" si="2">+Q24-1000</f>
        <v>12000</v>
      </c>
      <c r="R25" s="213">
        <v>0.12297950354229603</v>
      </c>
      <c r="S25" s="213">
        <v>0.1282826023074235</v>
      </c>
      <c r="T25" s="213">
        <v>0.13511607142041626</v>
      </c>
      <c r="U25" s="213">
        <v>0.14426404843956941</v>
      </c>
      <c r="V25" s="213">
        <v>0.15716792528325296</v>
      </c>
    </row>
    <row r="26" spans="2:22" ht="15">
      <c r="B26" s="311" t="s">
        <v>90</v>
      </c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313"/>
      <c r="P26" s="190"/>
      <c r="Q26" s="13">
        <f t="shared" si="2"/>
        <v>11000</v>
      </c>
      <c r="R26" s="213">
        <v>0.17456770389648546</v>
      </c>
      <c r="S26" s="213">
        <v>0.18585767617064741</v>
      </c>
      <c r="T26" s="213">
        <v>0.20031647920830098</v>
      </c>
      <c r="U26" s="213">
        <v>0.21954785050942349</v>
      </c>
      <c r="V26" s="213">
        <v>0.24650947893937558</v>
      </c>
    </row>
    <row r="27" spans="2:22" ht="15">
      <c r="B27" s="111"/>
      <c r="C27" s="125"/>
      <c r="D27" s="125"/>
      <c r="E27" s="125"/>
      <c r="F27" s="192">
        <v>1</v>
      </c>
      <c r="G27" s="192">
        <f>+F27+1</f>
        <v>2</v>
      </c>
      <c r="H27" s="192">
        <f t="shared" ref="H27:J27" si="3">+G27+1</f>
        <v>3</v>
      </c>
      <c r="I27" s="192">
        <f t="shared" si="3"/>
        <v>4</v>
      </c>
      <c r="J27" s="192">
        <f t="shared" si="3"/>
        <v>5</v>
      </c>
      <c r="K27" s="192">
        <f t="shared" ref="K27:O27" si="4">+J27+1</f>
        <v>6</v>
      </c>
      <c r="L27" s="192">
        <f t="shared" si="4"/>
        <v>7</v>
      </c>
      <c r="M27" s="192">
        <f t="shared" si="4"/>
        <v>8</v>
      </c>
      <c r="N27" s="192">
        <f t="shared" si="4"/>
        <v>9</v>
      </c>
      <c r="O27" s="193">
        <f t="shared" si="4"/>
        <v>10</v>
      </c>
      <c r="P27" s="173"/>
      <c r="Q27" s="13">
        <f t="shared" si="2"/>
        <v>10000</v>
      </c>
      <c r="R27" s="213">
        <v>0.23123326260805799</v>
      </c>
      <c r="S27" s="213">
        <v>0.24874905685985338</v>
      </c>
      <c r="T27" s="213">
        <v>0.27111500414852485</v>
      </c>
      <c r="U27" s="213">
        <v>0.3008007967632631</v>
      </c>
      <c r="V27" s="213">
        <v>0.34241594782623341</v>
      </c>
    </row>
    <row r="28" spans="2:22" ht="15">
      <c r="B28" s="111"/>
      <c r="C28" s="125"/>
      <c r="D28" s="125"/>
      <c r="E28" s="125"/>
      <c r="F28" s="194"/>
      <c r="G28" s="194"/>
      <c r="H28" s="194"/>
      <c r="I28" s="194"/>
      <c r="J28" s="194"/>
      <c r="K28" s="194"/>
      <c r="L28" s="194"/>
      <c r="M28" s="194"/>
      <c r="N28" s="194"/>
      <c r="O28" s="195"/>
      <c r="P28" s="128"/>
      <c r="Q28" s="13">
        <f t="shared" si="2"/>
        <v>9000</v>
      </c>
      <c r="R28" s="213">
        <v>0.29500473665546778</v>
      </c>
      <c r="S28" s="213">
        <v>0.3193200839628394</v>
      </c>
      <c r="T28" s="213">
        <v>0.35036287791345333</v>
      </c>
      <c r="U28" s="213">
        <v>0.39162630270103471</v>
      </c>
      <c r="V28" s="213">
        <v>0.4497398729443467</v>
      </c>
    </row>
    <row r="29" spans="2:22">
      <c r="B29" s="227" t="s">
        <v>91</v>
      </c>
      <c r="C29" s="125"/>
      <c r="D29" s="125"/>
      <c r="E29" s="125"/>
      <c r="F29" s="196">
        <f>+'5. Projected Income Statement'!Q34</f>
        <v>1757.8985</v>
      </c>
      <c r="G29" s="196">
        <f t="shared" ref="G29:O29" si="5">+VLOOKUP("Year "&amp;G$27,$G$6:$I$15,3,FALSE)</f>
        <v>1810.6354550000001</v>
      </c>
      <c r="H29" s="196">
        <f t="shared" si="5"/>
        <v>1864.9545186500002</v>
      </c>
      <c r="I29" s="196">
        <f t="shared" si="5"/>
        <v>1920.9031542095001</v>
      </c>
      <c r="J29" s="196">
        <f t="shared" si="5"/>
        <v>1978.5302488357852</v>
      </c>
      <c r="K29" s="196">
        <f t="shared" si="5"/>
        <v>2037.8861563008588</v>
      </c>
      <c r="L29" s="196">
        <f t="shared" si="5"/>
        <v>2099.0227409898848</v>
      </c>
      <c r="M29" s="196">
        <f t="shared" si="5"/>
        <v>2161.9934232195815</v>
      </c>
      <c r="N29" s="196">
        <f t="shared" si="5"/>
        <v>2226.8532259161689</v>
      </c>
      <c r="O29" s="197">
        <f t="shared" si="5"/>
        <v>2293.6588226936542</v>
      </c>
      <c r="P29" s="129"/>
      <c r="Q29" s="13">
        <f t="shared" si="2"/>
        <v>8000</v>
      </c>
      <c r="R29" s="213">
        <v>0.36883843619801104</v>
      </c>
      <c r="S29" s="213">
        <v>0.40098245290349066</v>
      </c>
      <c r="T29" s="213">
        <v>0.44211820125808687</v>
      </c>
      <c r="U29" s="213">
        <v>0.49705322006164598</v>
      </c>
      <c r="V29" s="213">
        <v>0.575085674357529</v>
      </c>
    </row>
    <row r="30" spans="2:22" ht="7.5" customHeight="1">
      <c r="B30" s="228"/>
      <c r="C30" s="125"/>
      <c r="D30" s="125"/>
      <c r="E30" s="125"/>
      <c r="F30" s="199"/>
      <c r="G30" s="199"/>
      <c r="H30" s="199"/>
      <c r="I30" s="199"/>
      <c r="J30" s="199"/>
      <c r="K30" s="199"/>
      <c r="L30" s="199"/>
      <c r="M30" s="199"/>
      <c r="N30" s="199"/>
      <c r="O30" s="200"/>
      <c r="P30" s="130"/>
    </row>
    <row r="31" spans="2:22">
      <c r="B31" s="228" t="s">
        <v>92</v>
      </c>
      <c r="C31" s="125"/>
      <c r="D31" s="125"/>
      <c r="E31" s="125"/>
      <c r="F31" s="183">
        <f t="shared" ref="F31:O31" ca="1" si="6">-$C$22</f>
        <v>-1209.4997111900643</v>
      </c>
      <c r="G31" s="183">
        <f t="shared" ca="1" si="6"/>
        <v>-1209.4997111900643</v>
      </c>
      <c r="H31" s="183">
        <f t="shared" ca="1" si="6"/>
        <v>-1209.4997111900643</v>
      </c>
      <c r="I31" s="183">
        <f t="shared" ca="1" si="6"/>
        <v>-1209.4997111900643</v>
      </c>
      <c r="J31" s="183">
        <f t="shared" ca="1" si="6"/>
        <v>-1209.4997111900643</v>
      </c>
      <c r="K31" s="183">
        <f t="shared" ca="1" si="6"/>
        <v>-1209.4997111900643</v>
      </c>
      <c r="L31" s="183">
        <f t="shared" ca="1" si="6"/>
        <v>-1209.4997111900643</v>
      </c>
      <c r="M31" s="183">
        <f t="shared" ca="1" si="6"/>
        <v>-1209.4997111900643</v>
      </c>
      <c r="N31" s="183">
        <f t="shared" ca="1" si="6"/>
        <v>-1209.4997111900643</v>
      </c>
      <c r="O31" s="241">
        <f t="shared" ca="1" si="6"/>
        <v>-1209.4997111900643</v>
      </c>
      <c r="P31" s="179"/>
    </row>
    <row r="32" spans="2:22" ht="8.25" customHeight="1">
      <c r="B32" s="228"/>
      <c r="C32" s="125"/>
      <c r="D32" s="125"/>
      <c r="E32" s="125"/>
      <c r="F32" s="183"/>
      <c r="G32" s="183"/>
      <c r="H32" s="183"/>
      <c r="I32" s="183"/>
      <c r="J32" s="183"/>
      <c r="K32" s="183"/>
      <c r="L32" s="183"/>
      <c r="M32" s="183"/>
      <c r="N32" s="183"/>
      <c r="O32" s="241"/>
      <c r="P32" s="179"/>
    </row>
    <row r="33" spans="2:16" ht="15" customHeight="1">
      <c r="B33" s="228"/>
      <c r="C33" s="125"/>
      <c r="D33" s="229" t="s">
        <v>93</v>
      </c>
      <c r="E33" s="125"/>
      <c r="F33" s="230">
        <f ca="1">F29/-F31</f>
        <v>1.4534096070765896</v>
      </c>
      <c r="G33" s="230">
        <f ca="1">G29/-G31</f>
        <v>1.4970118952888873</v>
      </c>
      <c r="H33" s="230">
        <f ca="1">H29/-H31</f>
        <v>1.5419222521475542</v>
      </c>
      <c r="I33" s="230">
        <f ca="1">I29/-I31</f>
        <v>1.5881799197119806</v>
      </c>
      <c r="J33" s="230">
        <f ca="1">J29/-J31</f>
        <v>1.6358253173033401</v>
      </c>
      <c r="K33" s="230">
        <f t="shared" ref="K33:O33" ca="1" si="7">K29/-K31</f>
        <v>1.6849000768224405</v>
      </c>
      <c r="L33" s="230">
        <f t="shared" ca="1" si="7"/>
        <v>1.7354470791271137</v>
      </c>
      <c r="M33" s="230">
        <f t="shared" ca="1" si="7"/>
        <v>1.7875104915009272</v>
      </c>
      <c r="N33" s="230">
        <f t="shared" ca="1" si="7"/>
        <v>1.8411358062459551</v>
      </c>
      <c r="O33" s="231">
        <f t="shared" ca="1" si="7"/>
        <v>1.896369880433334</v>
      </c>
      <c r="P33" s="180"/>
    </row>
    <row r="34" spans="2:16" ht="7.5" customHeight="1">
      <c r="B34" s="228"/>
      <c r="C34" s="125"/>
      <c r="D34" s="125"/>
      <c r="E34" s="125"/>
      <c r="F34" s="198"/>
      <c r="G34" s="198"/>
      <c r="H34" s="198"/>
      <c r="I34" s="198"/>
      <c r="J34" s="198"/>
      <c r="K34" s="198"/>
      <c r="L34" s="198"/>
      <c r="M34" s="198"/>
      <c r="N34" s="198"/>
      <c r="O34" s="232"/>
      <c r="P34" s="181"/>
    </row>
    <row r="35" spans="2:16">
      <c r="B35" s="227" t="s">
        <v>37</v>
      </c>
      <c r="C35" s="125"/>
      <c r="D35" s="125"/>
      <c r="E35" s="125"/>
      <c r="F35" s="199">
        <f ca="1">F29+F31</f>
        <v>548.3987888099357</v>
      </c>
      <c r="G35" s="199">
        <f ca="1">G29+G31</f>
        <v>601.13574380993578</v>
      </c>
      <c r="H35" s="199">
        <f ca="1">H29+H31</f>
        <v>655.45480745993586</v>
      </c>
      <c r="I35" s="199">
        <f ca="1">I29+I31</f>
        <v>711.40344301943583</v>
      </c>
      <c r="J35" s="199">
        <f ca="1">J29+J31</f>
        <v>769.03053764572087</v>
      </c>
      <c r="K35" s="199">
        <f t="shared" ref="K35:O35" ca="1" si="8">K29+K31</f>
        <v>828.38644511079451</v>
      </c>
      <c r="L35" s="199">
        <f t="shared" ca="1" si="8"/>
        <v>889.52302979982051</v>
      </c>
      <c r="M35" s="199">
        <f t="shared" ca="1" si="8"/>
        <v>952.49371202951716</v>
      </c>
      <c r="N35" s="199">
        <f t="shared" ca="1" si="8"/>
        <v>1017.3535147261045</v>
      </c>
      <c r="O35" s="200">
        <f t="shared" ca="1" si="8"/>
        <v>1084.1591115035899</v>
      </c>
      <c r="P35" s="179"/>
    </row>
    <row r="36" spans="2:16" hidden="1">
      <c r="B36" s="227"/>
      <c r="C36" s="125"/>
      <c r="D36" s="125" t="s">
        <v>133</v>
      </c>
      <c r="E36" s="125"/>
      <c r="F36" s="199">
        <f ca="1">+IF(F35&lt;0,F35,0)</f>
        <v>0</v>
      </c>
      <c r="G36" s="199">
        <f ca="1">+IF($G$35&lt;0,$G$35,0)+IF($F$35&lt;0,$F$35,0)</f>
        <v>0</v>
      </c>
      <c r="H36" s="199">
        <f ca="1">+IF($G$35&lt;0,$G$35,0)+IF($F$35&lt;0,$F$35,0)+IF($H$35&lt;0,$H$35,0)</f>
        <v>0</v>
      </c>
      <c r="I36" s="199">
        <f ca="1">+IF($G$35&lt;0,$G$35,0)+IF($F$35&lt;0,$F$35,0)+IF($H$35&lt;0,$H$35,0)+IF($I$35&lt;0,$I$35,0)</f>
        <v>0</v>
      </c>
      <c r="J36" s="199">
        <f ca="1">+IF($G$35&lt;0,$G$35,0)+IF($F$35&lt;0,$F$35,0)+IF($H$35&lt;0,$H$35,0)+IF($I$35&lt;0,$I$35,0)+IF($J$35&lt;0,$J$35,0)</f>
        <v>0</v>
      </c>
      <c r="K36" s="199">
        <f ca="1">+IF($G$35&lt;0,$G$35,0)+IF($F$35&lt;0,$F$35,0)+IF($H$35&lt;0,$H$35,0)+IF($I$35&lt;0,$I$35,0)+IF($J$35&lt;0,$J$35,0)+IF($K$35&lt;0,$K$35,0)</f>
        <v>0</v>
      </c>
      <c r="L36" s="199">
        <f ca="1">+IF($G$35&lt;0,$G$35,0)+IF($F$35&lt;0,$F$35,0)+IF($H$35&lt;0,$H$35,0)+IF($I$35&lt;0,$I$35,0)+IF($J$35&lt;0,$J$35,0)+IF($K$35&lt;0,$K$35,0)+IF($L$35&lt;0,$L$35,0)</f>
        <v>0</v>
      </c>
      <c r="M36" s="199">
        <f ca="1">+IF($G$35&lt;0,$G$35,0)+IF($F$35&lt;0,$F$35,0)+IF($H$35&lt;0,$H$35,0)+IF($I$35&lt;0,$I$35,0)+IF($J$35&lt;0,$J$35,0)+IF($K$35&lt;0,$K$35,0)+IF($L$35&lt;0,$L$35,0)+IF($M$35&lt;0,$M$35,0)</f>
        <v>0</v>
      </c>
      <c r="N36" s="199">
        <f ca="1">+IF($G$35&lt;0,$G$35,0)+IF($F$35&lt;0,$F$35,0)+IF($H$35&lt;0,$H$35,0)+IF($I$35&lt;0,$I$35,0)+IF($J$35&lt;0,$J$35,0)+IF($K$35&lt;0,$K$35,0)+IF($L$35&lt;0,$L$35,0)+IF($M$35&lt;0,$M$35,0)+IF($N$35&lt;0,$N$35,0)</f>
        <v>0</v>
      </c>
      <c r="O36" s="200">
        <f ca="1">+IF($G$35&lt;0,$G$35,0)+IF($F$35&lt;0,$F$35,0)+IF($H$35&lt;0,$H$35,0)+IF($I$35&lt;0,$I$35,0)+IF($J$35&lt;0,$J$35,0)+IF($K$35&lt;0,$K$35,0)+IF($L$35&lt;0,$L$35,0)+IF($M$35&lt;0,$M$35,0)+IF($N$35&lt;0,$N$35,0)+IF(O35&lt;0,O35,0)</f>
        <v>0</v>
      </c>
      <c r="P36" s="179"/>
    </row>
    <row r="37" spans="2:16">
      <c r="B37" s="227"/>
      <c r="C37" s="125"/>
      <c r="D37" s="229" t="s">
        <v>132</v>
      </c>
      <c r="E37" s="125"/>
      <c r="F37" s="301">
        <f ca="1">+F35/($C$13-F36)</f>
        <v>0.15766660446358782</v>
      </c>
      <c r="G37" s="301">
        <f t="shared" ref="G37:O37" ca="1" si="9">+G35/($C$13-G36)</f>
        <v>0.17282866680629078</v>
      </c>
      <c r="H37" s="301">
        <f t="shared" ca="1" si="9"/>
        <v>0.18844559101927486</v>
      </c>
      <c r="I37" s="300">
        <f t="shared" ca="1" si="9"/>
        <v>0.20453102295864839</v>
      </c>
      <c r="J37" s="300">
        <f t="shared" ca="1" si="9"/>
        <v>0.22109901785620314</v>
      </c>
      <c r="K37" s="300">
        <f t="shared" ca="1" si="9"/>
        <v>0.23816405260068457</v>
      </c>
      <c r="L37" s="300">
        <f t="shared" ca="1" si="9"/>
        <v>0.25574103838750051</v>
      </c>
      <c r="M37" s="300">
        <f t="shared" ca="1" si="9"/>
        <v>0.27384533374792086</v>
      </c>
      <c r="N37" s="300">
        <f t="shared" ca="1" si="9"/>
        <v>0.29249275796915375</v>
      </c>
      <c r="O37" s="314">
        <f t="shared" ca="1" si="9"/>
        <v>0.31169960491702375</v>
      </c>
      <c r="P37" s="179"/>
    </row>
    <row r="38" spans="2:16" ht="12" customHeight="1">
      <c r="B38" s="228"/>
      <c r="C38" s="125"/>
      <c r="D38" s="125"/>
      <c r="E38" s="125"/>
      <c r="F38" s="198"/>
      <c r="G38" s="198"/>
      <c r="H38" s="198"/>
      <c r="I38" s="198"/>
      <c r="J38" s="198"/>
      <c r="K38" s="198"/>
      <c r="L38" s="198"/>
      <c r="M38" s="198"/>
      <c r="N38" s="198"/>
      <c r="O38" s="232"/>
      <c r="P38" s="181"/>
    </row>
    <row r="39" spans="2:16">
      <c r="B39" s="111"/>
      <c r="C39" s="125"/>
      <c r="D39" s="229" t="s">
        <v>115</v>
      </c>
      <c r="E39" s="125"/>
      <c r="F39" s="233">
        <v>4</v>
      </c>
      <c r="G39" s="233">
        <f>+F39-0.1</f>
        <v>3.9</v>
      </c>
      <c r="H39" s="233">
        <f t="shared" ref="H39:J39" si="10">+G39-0.1</f>
        <v>3.8</v>
      </c>
      <c r="I39" s="233">
        <f t="shared" si="10"/>
        <v>3.6999999999999997</v>
      </c>
      <c r="J39" s="233">
        <f t="shared" si="10"/>
        <v>3.5999999999999996</v>
      </c>
      <c r="K39" s="233">
        <f t="shared" ref="K39:O39" si="11">+J39-0.1</f>
        <v>3.4999999999999996</v>
      </c>
      <c r="L39" s="233">
        <f t="shared" si="11"/>
        <v>3.3999999999999995</v>
      </c>
      <c r="M39" s="233">
        <f t="shared" si="11"/>
        <v>3.2999999999999994</v>
      </c>
      <c r="N39" s="233">
        <f t="shared" si="11"/>
        <v>3.1999999999999993</v>
      </c>
      <c r="O39" s="234">
        <f t="shared" si="11"/>
        <v>3.0999999999999992</v>
      </c>
      <c r="P39" s="182"/>
    </row>
    <row r="40" spans="2:16">
      <c r="B40" s="111"/>
      <c r="C40" s="125"/>
      <c r="D40" s="229"/>
      <c r="E40" s="12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P40" s="182"/>
    </row>
    <row r="41" spans="2:16">
      <c r="B41" s="227" t="s">
        <v>94</v>
      </c>
      <c r="C41" s="125"/>
      <c r="D41" s="125"/>
      <c r="E41" s="125"/>
      <c r="F41" s="199">
        <f t="shared" ref="F41:O41" si="12">+VLOOKUP("Year "&amp;F27+1,$G$6:$I$15,3,FALSE)*F39</f>
        <v>7242.5418200000004</v>
      </c>
      <c r="G41" s="199">
        <f t="shared" si="12"/>
        <v>7273.3226227350006</v>
      </c>
      <c r="H41" s="199">
        <f t="shared" si="12"/>
        <v>7299.4319859961006</v>
      </c>
      <c r="I41" s="199">
        <f t="shared" si="12"/>
        <v>7320.5619206924048</v>
      </c>
      <c r="J41" s="199">
        <f t="shared" si="12"/>
        <v>7336.3901626830911</v>
      </c>
      <c r="K41" s="199">
        <f t="shared" si="12"/>
        <v>7346.5795934645957</v>
      </c>
      <c r="L41" s="199">
        <f t="shared" si="12"/>
        <v>7350.7776389465762</v>
      </c>
      <c r="M41" s="199">
        <f t="shared" si="12"/>
        <v>7348.6156455233559</v>
      </c>
      <c r="N41" s="199">
        <f t="shared" si="12"/>
        <v>7339.7082326196914</v>
      </c>
      <c r="O41" s="200">
        <f t="shared" si="12"/>
        <v>7323.6526208608357</v>
      </c>
      <c r="P41" s="183"/>
    </row>
    <row r="42" spans="2:16">
      <c r="B42" s="237" t="s">
        <v>95</v>
      </c>
      <c r="C42" s="125"/>
      <c r="D42" s="238">
        <v>0.02</v>
      </c>
      <c r="E42" s="125"/>
      <c r="F42" s="199">
        <f>F41*-$D42</f>
        <v>-144.85083640000002</v>
      </c>
      <c r="G42" s="199">
        <f>G41*-$D42</f>
        <v>-145.4664524547</v>
      </c>
      <c r="H42" s="199">
        <f>H41*-$D42</f>
        <v>-145.98863971992202</v>
      </c>
      <c r="I42" s="199">
        <f>I41*-$D42</f>
        <v>-146.41123841384811</v>
      </c>
      <c r="J42" s="199">
        <f>J41*-$D42</f>
        <v>-146.72780325366182</v>
      </c>
      <c r="K42" s="199">
        <f t="shared" ref="K42:O42" si="13">K41*-$D42</f>
        <v>-146.93159186929191</v>
      </c>
      <c r="L42" s="199">
        <f t="shared" si="13"/>
        <v>-147.01555277893152</v>
      </c>
      <c r="M42" s="199">
        <f t="shared" si="13"/>
        <v>-146.97231291046711</v>
      </c>
      <c r="N42" s="199">
        <f t="shared" si="13"/>
        <v>-146.79416465239385</v>
      </c>
      <c r="O42" s="200">
        <f t="shared" si="13"/>
        <v>-146.47305241721671</v>
      </c>
      <c r="P42" s="183"/>
    </row>
    <row r="43" spans="2:16">
      <c r="B43" s="227" t="s">
        <v>96</v>
      </c>
      <c r="C43" s="125"/>
      <c r="D43" s="239"/>
      <c r="E43" s="125"/>
      <c r="F43" s="199">
        <f>SUM(F41:F42)</f>
        <v>7097.6909836000004</v>
      </c>
      <c r="G43" s="199">
        <f t="shared" ref="G43:J43" si="14">SUM(G41:G42)</f>
        <v>7127.8561702803008</v>
      </c>
      <c r="H43" s="199">
        <f t="shared" si="14"/>
        <v>7153.443346276179</v>
      </c>
      <c r="I43" s="199">
        <f t="shared" si="14"/>
        <v>7174.1506822785568</v>
      </c>
      <c r="J43" s="199">
        <f t="shared" si="14"/>
        <v>7189.6623594294297</v>
      </c>
      <c r="K43" s="199">
        <f t="shared" ref="K43" si="15">SUM(K41:K42)</f>
        <v>7199.6480015953039</v>
      </c>
      <c r="L43" s="199">
        <f t="shared" ref="L43" si="16">SUM(L41:L42)</f>
        <v>7203.7620861676451</v>
      </c>
      <c r="M43" s="199">
        <f t="shared" ref="M43" si="17">SUM(M41:M42)</f>
        <v>7201.643332612889</v>
      </c>
      <c r="N43" s="199">
        <f t="shared" ref="N43" si="18">SUM(N41:N42)</f>
        <v>7192.9140679672973</v>
      </c>
      <c r="O43" s="200">
        <f t="shared" ref="O43" si="19">SUM(O41:O42)</f>
        <v>7177.1795684436192</v>
      </c>
      <c r="P43" s="184"/>
    </row>
    <row r="44" spans="2:16">
      <c r="B44" s="237" t="s">
        <v>97</v>
      </c>
      <c r="C44" s="125"/>
      <c r="D44" s="125"/>
      <c r="E44" s="125"/>
      <c r="F44" s="183">
        <f ca="1">-VLOOKUP(F27*12,'4. Acquisition Financing'!$F$8:$J$128,5,FALSE)</f>
        <v>-7563.5386103911005</v>
      </c>
      <c r="G44" s="183">
        <f ca="1">-VLOOKUP(G27*12,'4. Acquisition Financing'!$F$8:$J$128,5,FALSE)</f>
        <v>-6965.3948380860493</v>
      </c>
      <c r="H44" s="183">
        <f ca="1">-VLOOKUP(H27*12,'4. Acquisition Financing'!$F$8:$J$128,5,FALSE)</f>
        <v>-6317.6054276796949</v>
      </c>
      <c r="I44" s="183">
        <f ca="1">-VLOOKUP(I27*12,'4. Acquisition Financing'!$F$8:$J$128,5,FALSE)</f>
        <v>-5616.049815694485</v>
      </c>
      <c r="J44" s="183">
        <f ca="1">-VLOOKUP(J27*12,'4. Acquisition Financing'!$F$8:$J$128,5,FALSE)</f>
        <v>-4856.265433916461</v>
      </c>
      <c r="K44" s="183">
        <f ca="1">-VLOOKUP(K27*12,'4. Acquisition Financing'!$F$8:$J$128,5,FALSE)</f>
        <v>-4033.4193231708127</v>
      </c>
      <c r="L44" s="183">
        <f ca="1">-VLOOKUP(L27*12,'4. Acquisition Financing'!$F$8:$J$128,5,FALSE)</f>
        <v>-3142.2773910547962</v>
      </c>
      <c r="M44" s="183">
        <f ca="1">-VLOOKUP(M27*12,'4. Acquisition Financing'!$F$8:$J$128,5,FALSE)</f>
        <v>-2177.1711180776579</v>
      </c>
      <c r="N44" s="183">
        <f ca="1">-VLOOKUP(N27*12,'4. Acquisition Financing'!$F$8:$J$128,5,FALSE)</f>
        <v>-1131.9615004265825</v>
      </c>
      <c r="O44" s="241">
        <f ca="1">-VLOOKUP(O27*12,'4. Acquisition Financing'!$F$8:$J$128,5,FALSE)</f>
        <v>-1.1084466677857563E-12</v>
      </c>
      <c r="P44" s="184"/>
    </row>
    <row r="45" spans="2:16" ht="7.5" customHeight="1">
      <c r="B45" s="228"/>
      <c r="C45" s="125"/>
      <c r="D45" s="125"/>
      <c r="E45" s="125"/>
      <c r="F45" s="203"/>
      <c r="G45" s="203"/>
      <c r="H45" s="201"/>
      <c r="I45" s="201"/>
      <c r="J45" s="201"/>
      <c r="K45" s="201"/>
      <c r="L45" s="201"/>
      <c r="M45" s="201"/>
      <c r="N45" s="201"/>
      <c r="O45" s="202"/>
      <c r="P45" s="184"/>
    </row>
    <row r="46" spans="2:16" ht="15" thickBot="1">
      <c r="B46" s="269" t="s">
        <v>98</v>
      </c>
      <c r="C46" s="270"/>
      <c r="D46" s="270"/>
      <c r="E46" s="270"/>
      <c r="F46" s="271">
        <f ca="1">SUM(F43:F44)</f>
        <v>-465.84762679110008</v>
      </c>
      <c r="G46" s="271">
        <f t="shared" ref="G46:J46" ca="1" si="20">SUM(G43:G44)</f>
        <v>162.46133219425155</v>
      </c>
      <c r="H46" s="271">
        <f t="shared" ca="1" si="20"/>
        <v>835.83791859648409</v>
      </c>
      <c r="I46" s="271">
        <f t="shared" ca="1" si="20"/>
        <v>1558.1008665840718</v>
      </c>
      <c r="J46" s="271">
        <f t="shared" ca="1" si="20"/>
        <v>2333.3969255129687</v>
      </c>
      <c r="K46" s="271">
        <f t="shared" ref="K46:O46" ca="1" si="21">SUM(K43:K44)</f>
        <v>3166.2286784244911</v>
      </c>
      <c r="L46" s="271">
        <f t="shared" ca="1" si="21"/>
        <v>4061.4846951128488</v>
      </c>
      <c r="M46" s="271">
        <f t="shared" ca="1" si="21"/>
        <v>5024.4722145352316</v>
      </c>
      <c r="N46" s="271">
        <f t="shared" ca="1" si="21"/>
        <v>6060.9525675407149</v>
      </c>
      <c r="O46" s="272">
        <f t="shared" ca="1" si="21"/>
        <v>7177.1795684436183</v>
      </c>
      <c r="P46" s="179"/>
    </row>
    <row r="47" spans="2:16" ht="15" thickTop="1">
      <c r="B47" s="315"/>
      <c r="C47" s="240"/>
      <c r="D47" s="240"/>
      <c r="E47" s="240"/>
      <c r="F47" s="316"/>
      <c r="G47" s="316"/>
      <c r="H47" s="316"/>
      <c r="I47" s="316"/>
      <c r="J47" s="316"/>
      <c r="K47" s="316"/>
      <c r="L47" s="316"/>
      <c r="M47" s="316"/>
      <c r="N47" s="316"/>
      <c r="O47" s="317"/>
      <c r="P47" s="179"/>
    </row>
    <row r="48" spans="2:16" s="120" customFormat="1">
      <c r="B48" s="122"/>
      <c r="C48" s="122"/>
      <c r="D48" s="122"/>
      <c r="E48" s="122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185"/>
    </row>
    <row r="49" spans="2:16" s="131" customFormat="1" ht="15">
      <c r="B49" s="273"/>
      <c r="C49" s="274"/>
      <c r="D49" s="275"/>
      <c r="E49" s="275"/>
      <c r="F49" s="276" t="s">
        <v>99</v>
      </c>
      <c r="G49" s="276" t="s">
        <v>100</v>
      </c>
      <c r="H49" s="276" t="s">
        <v>101</v>
      </c>
      <c r="I49" s="276" t="s">
        <v>102</v>
      </c>
      <c r="J49" s="276" t="s">
        <v>103</v>
      </c>
      <c r="K49" s="276" t="s">
        <v>104</v>
      </c>
      <c r="L49" s="276" t="s">
        <v>105</v>
      </c>
      <c r="M49" s="276" t="s">
        <v>106</v>
      </c>
      <c r="N49" s="276" t="s">
        <v>107</v>
      </c>
      <c r="O49" s="277" t="s">
        <v>108</v>
      </c>
      <c r="P49" s="186"/>
    </row>
    <row r="50" spans="2:16" s="131" customFormat="1" ht="15">
      <c r="B50" s="278" t="s">
        <v>122</v>
      </c>
      <c r="C50" s="279"/>
      <c r="D50" s="279"/>
      <c r="E50" s="279"/>
      <c r="F50" s="280"/>
      <c r="G50" s="280"/>
      <c r="H50" s="280"/>
      <c r="I50" s="280"/>
      <c r="J50" s="280"/>
      <c r="K50" s="280"/>
      <c r="L50" s="280"/>
      <c r="M50" s="280"/>
      <c r="N50" s="280"/>
      <c r="O50" s="281"/>
      <c r="P50" s="187"/>
    </row>
    <row r="51" spans="2:16">
      <c r="B51" s="111"/>
      <c r="C51" s="125"/>
      <c r="D51" s="125"/>
      <c r="E51" s="125"/>
      <c r="F51" s="242"/>
      <c r="G51" s="242"/>
      <c r="H51" s="242"/>
      <c r="I51" s="242"/>
      <c r="J51" s="242"/>
      <c r="K51" s="242"/>
      <c r="L51" s="242"/>
      <c r="M51" s="242"/>
      <c r="N51" s="242"/>
      <c r="O51" s="243"/>
      <c r="P51" s="103"/>
    </row>
    <row r="52" spans="2:16" s="131" customFormat="1" ht="15">
      <c r="B52" s="174" t="s">
        <v>109</v>
      </c>
      <c r="C52" s="109"/>
      <c r="D52" s="205"/>
      <c r="E52" s="109"/>
      <c r="F52" s="244"/>
      <c r="G52" s="245"/>
      <c r="H52" s="242"/>
      <c r="I52" s="242"/>
      <c r="J52" s="242"/>
      <c r="K52" s="242"/>
      <c r="L52" s="242"/>
      <c r="M52" s="242"/>
      <c r="N52" s="242"/>
      <c r="O52" s="243"/>
      <c r="P52" s="103"/>
    </row>
    <row r="53" spans="2:16" s="131" customFormat="1" ht="15">
      <c r="B53" s="174"/>
      <c r="C53" s="206" t="s">
        <v>110</v>
      </c>
      <c r="D53" s="138" t="s">
        <v>111</v>
      </c>
      <c r="E53" s="148"/>
      <c r="F53" s="246"/>
      <c r="G53" s="246"/>
      <c r="H53" s="247"/>
      <c r="I53" s="248"/>
      <c r="J53" s="249"/>
      <c r="K53" s="249"/>
      <c r="L53" s="249"/>
      <c r="M53" s="249"/>
      <c r="N53" s="249"/>
      <c r="O53" s="250"/>
      <c r="P53" s="188"/>
    </row>
    <row r="54" spans="2:16" s="131" customFormat="1" ht="15">
      <c r="B54" s="116" t="s">
        <v>99</v>
      </c>
      <c r="C54" s="282">
        <f ca="1">IRR(E54:F54)</f>
        <v>-0.23619594742399785</v>
      </c>
      <c r="D54" s="283">
        <f ca="1">SUMIF(E54:K54,"&gt;0")/-SUMIF(E54:K54,"&lt;0")</f>
        <v>0.76380405257600203</v>
      </c>
      <c r="E54" s="207">
        <f ca="1">-1*$C$9</f>
        <v>-11594.059305830715</v>
      </c>
      <c r="F54" s="251">
        <f>+F43+F29</f>
        <v>8855.5894836000007</v>
      </c>
      <c r="G54" s="246"/>
      <c r="H54" s="247"/>
      <c r="I54" s="247"/>
      <c r="J54" s="247"/>
      <c r="K54" s="247"/>
      <c r="L54" s="247"/>
      <c r="M54" s="247"/>
      <c r="N54" s="247"/>
      <c r="O54" s="252"/>
      <c r="P54" s="189"/>
    </row>
    <row r="55" spans="2:16" s="131" customFormat="1" ht="15">
      <c r="B55" s="116" t="s">
        <v>100</v>
      </c>
      <c r="C55" s="282">
        <f ca="1">IRR(E55:G55)</f>
        <v>-4.2882900490772702E-2</v>
      </c>
      <c r="D55" s="283">
        <f ca="1">SUMIF(E55:K55,"&gt;0")/-SUMIF(E55:K55,"&lt;0")</f>
        <v>0.92257507427972518</v>
      </c>
      <c r="E55" s="207">
        <f ca="1">-1*$C$9</f>
        <v>-11594.059305830715</v>
      </c>
      <c r="F55" s="251">
        <f>$F$29</f>
        <v>1757.8985</v>
      </c>
      <c r="G55" s="251">
        <f>+G43+G29</f>
        <v>8938.4916252803014</v>
      </c>
      <c r="H55" s="247"/>
      <c r="I55" s="247"/>
      <c r="J55" s="247"/>
      <c r="K55" s="247"/>
      <c r="L55" s="247"/>
      <c r="M55" s="247"/>
      <c r="N55" s="247"/>
      <c r="O55" s="252"/>
      <c r="P55" s="189"/>
    </row>
    <row r="56" spans="2:16" s="131" customFormat="1" ht="15">
      <c r="B56" s="116" t="s">
        <v>101</v>
      </c>
      <c r="C56" s="282">
        <f ca="1">IRR(E56:H56,1)</f>
        <v>3.2508877836469274E-2</v>
      </c>
      <c r="D56" s="283">
        <f ca="1">SUMIF(E56:K56,"&gt;0")/-SUMIF(E56:K56,"&lt;0")</f>
        <v>1.0856363149355426</v>
      </c>
      <c r="E56" s="207">
        <f ca="1">-1*$C$9</f>
        <v>-11594.059305830715</v>
      </c>
      <c r="F56" s="251">
        <f>$F$29</f>
        <v>1757.8985</v>
      </c>
      <c r="G56" s="251">
        <f>$G$29</f>
        <v>1810.6354550000001</v>
      </c>
      <c r="H56" s="251">
        <f>+H43+H29</f>
        <v>9018.397864926179</v>
      </c>
      <c r="I56" s="251"/>
      <c r="J56" s="251"/>
      <c r="K56" s="251"/>
      <c r="L56" s="251"/>
      <c r="M56" s="251"/>
      <c r="N56" s="251"/>
      <c r="O56" s="253"/>
      <c r="P56" s="133"/>
    </row>
    <row r="57" spans="2:16" s="131" customFormat="1" ht="15">
      <c r="B57" s="116" t="s">
        <v>102</v>
      </c>
      <c r="C57" s="282">
        <f ca="1">IRR(E57:I57,1)</f>
        <v>7.2644602181725526E-2</v>
      </c>
      <c r="D57" s="283">
        <f ca="1">SUMIF(E57:K57,"&gt;0")/-SUMIF(E57:K57,"&lt;0")</f>
        <v>1.2531022937610463</v>
      </c>
      <c r="E57" s="207">
        <f ca="1">-1*$C$9</f>
        <v>-11594.059305830715</v>
      </c>
      <c r="F57" s="251">
        <f>$F$29</f>
        <v>1757.8985</v>
      </c>
      <c r="G57" s="251">
        <f>$G$29</f>
        <v>1810.6354550000001</v>
      </c>
      <c r="H57" s="251">
        <f>$H$29</f>
        <v>1864.9545186500002</v>
      </c>
      <c r="I57" s="254">
        <f>+I43+I29</f>
        <v>9095.0538364880576</v>
      </c>
      <c r="J57" s="254"/>
      <c r="K57" s="254"/>
      <c r="L57" s="254"/>
      <c r="M57" s="254"/>
      <c r="N57" s="254"/>
      <c r="O57" s="255"/>
      <c r="P57" s="134"/>
    </row>
    <row r="58" spans="2:16" s="131" customFormat="1" ht="15">
      <c r="B58" s="116" t="s">
        <v>103</v>
      </c>
      <c r="C58" s="282">
        <f ca="1">IRR(E58:J58,1)</f>
        <v>9.7589794558082366E-2</v>
      </c>
      <c r="D58" s="283">
        <f ca="1">SUMIF(E58:K58,"&gt;0")/-SUMIF(E58:K58,"&lt;0")</f>
        <v>1.4250905399298273</v>
      </c>
      <c r="E58" s="207">
        <f ca="1">-1*$C$9</f>
        <v>-11594.059305830715</v>
      </c>
      <c r="F58" s="251">
        <f>$F$29</f>
        <v>1757.8985</v>
      </c>
      <c r="G58" s="251">
        <f>$G$29</f>
        <v>1810.6354550000001</v>
      </c>
      <c r="H58" s="251">
        <f>$H$29</f>
        <v>1864.9545186500002</v>
      </c>
      <c r="I58" s="254">
        <f>$I$29</f>
        <v>1920.9031542095001</v>
      </c>
      <c r="J58" s="254">
        <f>+J43+J29</f>
        <v>9168.1926082652153</v>
      </c>
      <c r="K58" s="254"/>
      <c r="L58" s="254"/>
      <c r="M58" s="254"/>
      <c r="N58" s="254"/>
      <c r="O58" s="255"/>
      <c r="P58" s="134"/>
    </row>
    <row r="59" spans="2:16" s="131" customFormat="1" ht="15">
      <c r="B59" s="116" t="s">
        <v>104</v>
      </c>
      <c r="C59" s="282">
        <f ca="1">IRR(E59:K59,1)</f>
        <v>0.11459589592495334</v>
      </c>
      <c r="D59" s="283">
        <f t="shared" ref="D59" ca="1" si="22">SUMIF(E59:K59,"&gt;0")/-SUMIF(E59:K59,"&lt;0")</f>
        <v>1.6017216701015395</v>
      </c>
      <c r="E59" s="207">
        <f t="shared" ref="E59:E63" ca="1" si="23">-1*$C$9</f>
        <v>-11594.059305830715</v>
      </c>
      <c r="F59" s="251">
        <f t="shared" ref="F59:F63" si="24">$F$29</f>
        <v>1757.8985</v>
      </c>
      <c r="G59" s="251">
        <f t="shared" ref="G59:G63" si="25">$G$29</f>
        <v>1810.6354550000001</v>
      </c>
      <c r="H59" s="251">
        <f t="shared" ref="H59:H63" si="26">$H$29</f>
        <v>1864.9545186500002</v>
      </c>
      <c r="I59" s="254">
        <f t="shared" ref="I59:I63" si="27">$I$29</f>
        <v>1920.9031542095001</v>
      </c>
      <c r="J59" s="254">
        <f>$J$29</f>
        <v>1978.5302488357852</v>
      </c>
      <c r="K59" s="254">
        <f>+K43+K29</f>
        <v>9237.5341578961634</v>
      </c>
      <c r="L59" s="254"/>
      <c r="M59" s="254"/>
      <c r="N59" s="254"/>
      <c r="O59" s="255"/>
      <c r="P59" s="135"/>
    </row>
    <row r="60" spans="2:16" s="131" customFormat="1" ht="15">
      <c r="B60" s="116" t="s">
        <v>105</v>
      </c>
      <c r="C60" s="282">
        <f ca="1">IRR(E60:L60,1)</f>
        <v>0.12691878634704201</v>
      </c>
      <c r="D60" s="283">
        <f ca="1">SUMIF(E60:L60,"&gt;0")/-SUMIF(E60:L60,"&lt;0")</f>
        <v>1.7831194678948064</v>
      </c>
      <c r="E60" s="207">
        <f t="shared" ca="1" si="23"/>
        <v>-11594.059305830715</v>
      </c>
      <c r="F60" s="251">
        <f t="shared" si="24"/>
        <v>1757.8985</v>
      </c>
      <c r="G60" s="251">
        <f t="shared" si="25"/>
        <v>1810.6354550000001</v>
      </c>
      <c r="H60" s="251">
        <f t="shared" si="26"/>
        <v>1864.9545186500002</v>
      </c>
      <c r="I60" s="254">
        <f t="shared" si="27"/>
        <v>1920.9031542095001</v>
      </c>
      <c r="J60" s="254">
        <f>$J$29</f>
        <v>1978.5302488357852</v>
      </c>
      <c r="K60" s="254">
        <f>$K$29</f>
        <v>2037.8861563008588</v>
      </c>
      <c r="L60" s="254">
        <f>+L43+L29</f>
        <v>9302.7848271575294</v>
      </c>
      <c r="M60" s="254"/>
      <c r="N60" s="254"/>
      <c r="O60" s="255"/>
      <c r="P60" s="135"/>
    </row>
    <row r="61" spans="2:16" s="131" customFormat="1" ht="15">
      <c r="B61" s="116" t="s">
        <v>106</v>
      </c>
      <c r="C61" s="282">
        <f ca="1">IRR(E61:M61,1)</f>
        <v>0.13623846208902002</v>
      </c>
      <c r="D61" s="283">
        <f ca="1">SUMIF(E61:M61,"&gt;0")/-SUMIF(E61:M61,"&lt;0")</f>
        <v>1.9694109653497676</v>
      </c>
      <c r="E61" s="207">
        <f t="shared" ca="1" si="23"/>
        <v>-11594.059305830715</v>
      </c>
      <c r="F61" s="251">
        <f t="shared" si="24"/>
        <v>1757.8985</v>
      </c>
      <c r="G61" s="251">
        <f t="shared" si="25"/>
        <v>1810.6354550000001</v>
      </c>
      <c r="H61" s="251">
        <f t="shared" si="26"/>
        <v>1864.9545186500002</v>
      </c>
      <c r="I61" s="254">
        <f t="shared" si="27"/>
        <v>1920.9031542095001</v>
      </c>
      <c r="J61" s="254">
        <f t="shared" ref="J61:J63" si="28">$J$29</f>
        <v>1978.5302488357852</v>
      </c>
      <c r="K61" s="254">
        <f t="shared" ref="K61:K63" si="29">$K$29</f>
        <v>2037.8861563008588</v>
      </c>
      <c r="L61" s="254">
        <f>+$L$29</f>
        <v>2099.0227409898848</v>
      </c>
      <c r="M61" s="254">
        <f>+M43+M29</f>
        <v>9363.636755832471</v>
      </c>
      <c r="N61" s="254"/>
      <c r="O61" s="255"/>
      <c r="P61" s="132"/>
    </row>
    <row r="62" spans="2:16" s="131" customFormat="1" ht="15">
      <c r="B62" s="116" t="s">
        <v>107</v>
      </c>
      <c r="C62" s="282">
        <f ca="1">IRR(E62:N62,1)</f>
        <v>0.14351078056067901</v>
      </c>
      <c r="D62" s="283">
        <f ca="1">SUMIF(E62:N62,"&gt;0")/-SUMIF(E62:N62,"&lt;0")</f>
        <v>2.1607265264281099</v>
      </c>
      <c r="E62" s="207">
        <f t="shared" ca="1" si="23"/>
        <v>-11594.059305830715</v>
      </c>
      <c r="F62" s="251">
        <f t="shared" si="24"/>
        <v>1757.8985</v>
      </c>
      <c r="G62" s="251">
        <f t="shared" si="25"/>
        <v>1810.6354550000001</v>
      </c>
      <c r="H62" s="251">
        <f t="shared" si="26"/>
        <v>1864.9545186500002</v>
      </c>
      <c r="I62" s="254">
        <f t="shared" si="27"/>
        <v>1920.9031542095001</v>
      </c>
      <c r="J62" s="254">
        <f t="shared" si="28"/>
        <v>1978.5302488357852</v>
      </c>
      <c r="K62" s="254">
        <f t="shared" si="29"/>
        <v>2037.8861563008588</v>
      </c>
      <c r="L62" s="254">
        <f t="shared" ref="L62:L63" si="30">+$L$29</f>
        <v>2099.0227409898848</v>
      </c>
      <c r="M62" s="254">
        <f>+$M$29</f>
        <v>2161.9934232195815</v>
      </c>
      <c r="N62" s="254">
        <f>+N43+N29</f>
        <v>9419.7672938834658</v>
      </c>
      <c r="O62" s="255"/>
      <c r="P62" s="132"/>
    </row>
    <row r="63" spans="2:16" s="131" customFormat="1" ht="15">
      <c r="B63" s="116" t="s">
        <v>108</v>
      </c>
      <c r="C63" s="282">
        <f ca="1">IRR(E63:O63,1)</f>
        <v>0.14932077052282855</v>
      </c>
      <c r="D63" s="283">
        <f ca="1">SUMIF(E63:O63,"&gt;0")/-SUMIF(E63:O63,"&lt;0")</f>
        <v>2.357199932599527</v>
      </c>
      <c r="E63" s="207">
        <f t="shared" ca="1" si="23"/>
        <v>-11594.059305830715</v>
      </c>
      <c r="F63" s="251">
        <f t="shared" si="24"/>
        <v>1757.8985</v>
      </c>
      <c r="G63" s="251">
        <f t="shared" si="25"/>
        <v>1810.6354550000001</v>
      </c>
      <c r="H63" s="251">
        <f t="shared" si="26"/>
        <v>1864.9545186500002</v>
      </c>
      <c r="I63" s="254">
        <f t="shared" si="27"/>
        <v>1920.9031542095001</v>
      </c>
      <c r="J63" s="254">
        <f t="shared" si="28"/>
        <v>1978.5302488357852</v>
      </c>
      <c r="K63" s="254">
        <f t="shared" si="29"/>
        <v>2037.8861563008588</v>
      </c>
      <c r="L63" s="254">
        <f t="shared" si="30"/>
        <v>2099.0227409898848</v>
      </c>
      <c r="M63" s="254">
        <f>+$M$29</f>
        <v>2161.9934232195815</v>
      </c>
      <c r="N63" s="254">
        <f>+N29</f>
        <v>2226.8532259161689</v>
      </c>
      <c r="O63" s="255">
        <f>+O29+O43</f>
        <v>9470.838391137273</v>
      </c>
      <c r="P63" s="132"/>
    </row>
    <row r="64" spans="2:16" s="131" customFormat="1" hidden="1">
      <c r="B64" s="113"/>
      <c r="C64" s="109"/>
      <c r="D64" s="109"/>
      <c r="E64" s="109"/>
      <c r="F64" s="245"/>
      <c r="G64" s="245"/>
      <c r="H64" s="245"/>
      <c r="I64" s="245"/>
      <c r="J64" s="245"/>
      <c r="K64" s="245"/>
      <c r="L64" s="245"/>
      <c r="M64" s="245"/>
      <c r="N64" s="245"/>
      <c r="O64" s="256"/>
      <c r="P64" s="135"/>
    </row>
    <row r="65" spans="2:16" s="131" customFormat="1" hidden="1">
      <c r="B65" s="113" t="s">
        <v>134</v>
      </c>
      <c r="C65" s="109"/>
      <c r="D65" s="109"/>
      <c r="E65" s="302">
        <f ca="1">+E63</f>
        <v>-11594.059305830715</v>
      </c>
      <c r="F65" s="303">
        <f ca="1">+F63+E63</f>
        <v>-9836.1608058307156</v>
      </c>
      <c r="G65" s="303">
        <f t="shared" ref="G65:O65" si="31">+G63+F63</f>
        <v>3568.5339549999999</v>
      </c>
      <c r="H65" s="303">
        <f t="shared" si="31"/>
        <v>3675.5899736500005</v>
      </c>
      <c r="I65" s="303">
        <f t="shared" si="31"/>
        <v>3785.8576728595003</v>
      </c>
      <c r="J65" s="303">
        <f t="shared" si="31"/>
        <v>3899.4334030452856</v>
      </c>
      <c r="K65" s="303">
        <f t="shared" si="31"/>
        <v>4016.4164051366442</v>
      </c>
      <c r="L65" s="303">
        <f t="shared" si="31"/>
        <v>4136.9088972907439</v>
      </c>
      <c r="M65" s="303">
        <f t="shared" si="31"/>
        <v>4261.0161642094663</v>
      </c>
      <c r="N65" s="303">
        <f t="shared" si="31"/>
        <v>4388.8466491357503</v>
      </c>
      <c r="O65" s="318">
        <f t="shared" si="31"/>
        <v>11697.691617053442</v>
      </c>
      <c r="P65" s="135"/>
    </row>
    <row r="66" spans="2:16" s="131" customFormat="1" hidden="1">
      <c r="B66" s="113"/>
      <c r="C66" s="109"/>
      <c r="D66" s="109"/>
      <c r="E66" s="109"/>
      <c r="F66" s="245"/>
      <c r="G66" s="245"/>
      <c r="H66" s="245"/>
      <c r="I66" s="245"/>
      <c r="J66" s="245"/>
      <c r="K66" s="245"/>
      <c r="L66" s="245"/>
      <c r="M66" s="245"/>
      <c r="N66" s="245"/>
      <c r="O66" s="256"/>
      <c r="P66" s="135"/>
    </row>
    <row r="67" spans="2:16">
      <c r="B67" s="111"/>
      <c r="C67" s="125"/>
      <c r="D67" s="125"/>
      <c r="E67" s="125"/>
      <c r="F67" s="242"/>
      <c r="G67" s="242"/>
      <c r="H67" s="242"/>
      <c r="I67" s="242"/>
      <c r="J67" s="242"/>
      <c r="K67" s="242"/>
      <c r="L67" s="242"/>
      <c r="M67" s="242"/>
      <c r="N67" s="242"/>
      <c r="O67" s="243"/>
    </row>
    <row r="68" spans="2:16" ht="15">
      <c r="B68" s="174" t="s">
        <v>112</v>
      </c>
      <c r="C68" s="136"/>
      <c r="D68" s="137"/>
      <c r="E68" s="109"/>
      <c r="F68" s="245"/>
      <c r="G68" s="245"/>
      <c r="H68" s="254"/>
      <c r="I68" s="254"/>
      <c r="J68" s="254"/>
      <c r="K68" s="254"/>
      <c r="L68" s="254"/>
      <c r="M68" s="254"/>
      <c r="N68" s="254"/>
      <c r="O68" s="255"/>
    </row>
    <row r="69" spans="2:16" ht="15">
      <c r="B69" s="174"/>
      <c r="C69" s="208" t="s">
        <v>110</v>
      </c>
      <c r="D69" s="208" t="s">
        <v>111</v>
      </c>
      <c r="E69" s="109"/>
      <c r="F69" s="245"/>
      <c r="G69" s="245"/>
      <c r="H69" s="248"/>
      <c r="I69" s="248"/>
      <c r="J69" s="248"/>
      <c r="K69" s="248"/>
      <c r="L69" s="248"/>
      <c r="M69" s="248"/>
      <c r="N69" s="248"/>
      <c r="O69" s="257"/>
    </row>
    <row r="70" spans="2:16" ht="15">
      <c r="B70" s="116" t="s">
        <v>99</v>
      </c>
      <c r="C70" s="282">
        <f ca="1">IRR(E70:F70)</f>
        <v>-0.97626624697999065</v>
      </c>
      <c r="D70" s="283">
        <f ca="1">SUMIF(E70:K70,"&gt;0")/-SUMIF(E70:K70,"&lt;0")</f>
        <v>2.3733753020009317E-2</v>
      </c>
      <c r="E70" s="207">
        <f ca="1">-$C$13</f>
        <v>-3478.2177917492045</v>
      </c>
      <c r="F70" s="251">
        <f ca="1">F35+$F$46</f>
        <v>82.551162018835612</v>
      </c>
      <c r="G70" s="246"/>
      <c r="H70" s="247"/>
      <c r="I70" s="247"/>
      <c r="J70" s="248"/>
      <c r="K70" s="248"/>
      <c r="L70" s="248"/>
      <c r="M70" s="248"/>
      <c r="N70" s="248"/>
      <c r="O70" s="257"/>
    </row>
    <row r="71" spans="2:16" ht="15">
      <c r="B71" s="116" t="s">
        <v>100</v>
      </c>
      <c r="C71" s="282">
        <f ca="1">IRR(E71:G71)</f>
        <v>-0.44603348715431479</v>
      </c>
      <c r="D71" s="283">
        <f ca="1">SUMIF(E71:K71,"&gt;0")/-SUMIF(E71:K71,"&lt;0")</f>
        <v>0.37720348275109311</v>
      </c>
      <c r="E71" s="207">
        <f ca="1">-$C$13</f>
        <v>-3478.2177917492045</v>
      </c>
      <c r="F71" s="251">
        <f ca="1">+$F$35</f>
        <v>548.3987888099357</v>
      </c>
      <c r="G71" s="251">
        <f ca="1">G35+$G$46</f>
        <v>763.59707600418733</v>
      </c>
      <c r="H71" s="247"/>
      <c r="I71" s="247"/>
      <c r="J71" s="248"/>
      <c r="K71" s="248"/>
      <c r="L71" s="248"/>
      <c r="M71" s="248"/>
      <c r="N71" s="248"/>
      <c r="O71" s="257"/>
    </row>
    <row r="72" spans="2:16" ht="15">
      <c r="B72" s="116" t="s">
        <v>101</v>
      </c>
      <c r="C72" s="282">
        <f ca="1">IRR(E72:H72,1)</f>
        <v>-0.10870814817624963</v>
      </c>
      <c r="D72" s="283">
        <f ca="1">SUMIF(E72:K72,"&gt;0")/-SUMIF(E72:K72,"&lt;0")</f>
        <v>0.75924724004958566</v>
      </c>
      <c r="E72" s="207">
        <f ca="1">-$C$13</f>
        <v>-3478.2177917492045</v>
      </c>
      <c r="F72" s="251">
        <f t="shared" ref="F72:F79" ca="1" si="32">+$F$35</f>
        <v>548.3987888099357</v>
      </c>
      <c r="G72" s="251">
        <f ca="1">+$G$35</f>
        <v>601.13574380993578</v>
      </c>
      <c r="H72" s="251">
        <f ca="1">H35+H46</f>
        <v>1491.29272605642</v>
      </c>
      <c r="I72" s="251"/>
      <c r="J72" s="254"/>
      <c r="K72" s="254"/>
      <c r="L72" s="254"/>
      <c r="M72" s="254"/>
      <c r="N72" s="254"/>
      <c r="O72" s="255"/>
    </row>
    <row r="73" spans="2:16" ht="15">
      <c r="B73" s="116" t="s">
        <v>102</v>
      </c>
      <c r="C73" s="282">
        <f ca="1">IRR(E73:I73,1)</f>
        <v>5.2216459258673797E-2</v>
      </c>
      <c r="D73" s="283">
        <f ca="1">SUMIF(E73:K73,"&gt;0")/-SUMIF(E73:K73,"&lt;0")</f>
        <v>1.1714314323126598</v>
      </c>
      <c r="E73" s="207">
        <f ca="1">-$C$13</f>
        <v>-3478.2177917492045</v>
      </c>
      <c r="F73" s="251">
        <f t="shared" ca="1" si="32"/>
        <v>548.3987888099357</v>
      </c>
      <c r="G73" s="251">
        <f t="shared" ref="G73:G79" ca="1" si="33">+$G$35</f>
        <v>601.13574380993578</v>
      </c>
      <c r="H73" s="251">
        <f ca="1">+$H$35</f>
        <v>655.45480745993586</v>
      </c>
      <c r="I73" s="251">
        <f ca="1">I35+I46</f>
        <v>2269.5043096035079</v>
      </c>
      <c r="J73" s="254"/>
      <c r="K73" s="254"/>
      <c r="L73" s="254"/>
      <c r="M73" s="254"/>
      <c r="N73" s="254"/>
      <c r="O73" s="255"/>
    </row>
    <row r="74" spans="2:16" ht="15">
      <c r="B74" s="116" t="s">
        <v>103</v>
      </c>
      <c r="C74" s="282">
        <f ca="1">IRR(E74:J74,1)</f>
        <v>0.13461336882894126</v>
      </c>
      <c r="D74" s="283">
        <f ca="1">SUMIF(E74:K74,"&gt;0")/-SUMIF(E74:K74,"&lt;0")</f>
        <v>1.6154308277036427</v>
      </c>
      <c r="E74" s="209">
        <f ca="1">-$C$13</f>
        <v>-3478.2177917492045</v>
      </c>
      <c r="F74" s="251">
        <f t="shared" ca="1" si="32"/>
        <v>548.3987888099357</v>
      </c>
      <c r="G74" s="251">
        <f t="shared" ca="1" si="33"/>
        <v>601.13574380993578</v>
      </c>
      <c r="H74" s="251">
        <f t="shared" ref="H74:H79" ca="1" si="34">+$H$35</f>
        <v>655.45480745993586</v>
      </c>
      <c r="I74" s="254">
        <f ca="1">+$I$35</f>
        <v>711.40344301943583</v>
      </c>
      <c r="J74" s="251">
        <f ca="1">J35+J46</f>
        <v>3102.4274631586895</v>
      </c>
      <c r="K74" s="251"/>
      <c r="L74" s="251"/>
      <c r="M74" s="251"/>
      <c r="N74" s="251"/>
      <c r="O74" s="255"/>
    </row>
    <row r="75" spans="2:16" ht="15">
      <c r="B75" s="116" t="s">
        <v>104</v>
      </c>
      <c r="C75" s="282">
        <f ca="1">IRR(E75:K75,1)</f>
        <v>0.17999992322799074</v>
      </c>
      <c r="D75" s="283">
        <f t="shared" ref="D75" ca="1" si="35">SUMIF(E75:K75,"&gt;0")/-SUMIF(E75:K75,"&lt;0")</f>
        <v>2.0930369747261648</v>
      </c>
      <c r="E75" s="209">
        <f t="shared" ref="E75:E79" ca="1" si="36">-$C$13</f>
        <v>-3478.2177917492045</v>
      </c>
      <c r="F75" s="251">
        <f t="shared" ca="1" si="32"/>
        <v>548.3987888099357</v>
      </c>
      <c r="G75" s="251">
        <f t="shared" ca="1" si="33"/>
        <v>601.13574380993578</v>
      </c>
      <c r="H75" s="251">
        <f t="shared" ca="1" si="34"/>
        <v>655.45480745993586</v>
      </c>
      <c r="I75" s="254">
        <f t="shared" ref="I75:I79" ca="1" si="37">+$I$35</f>
        <v>711.40344301943583</v>
      </c>
      <c r="J75" s="251">
        <f ca="1">+$J$35</f>
        <v>769.03053764572087</v>
      </c>
      <c r="K75" s="251">
        <f ca="1">+K35+K46</f>
        <v>3994.6151235352854</v>
      </c>
      <c r="L75" s="251"/>
      <c r="M75" s="251"/>
      <c r="N75" s="251"/>
      <c r="O75" s="319"/>
    </row>
    <row r="76" spans="2:16" ht="15">
      <c r="B76" s="116" t="s">
        <v>105</v>
      </c>
      <c r="C76" s="282">
        <f ca="1">IRR(E76:L76,1)</f>
        <v>0.20635879806717061</v>
      </c>
      <c r="D76" s="283">
        <f ca="1">SUMIF(E76:L76,"&gt;0")/-SUMIF(E76:L76,"&lt;0")</f>
        <v>2.6061673056451</v>
      </c>
      <c r="E76" s="209">
        <f t="shared" ca="1" si="36"/>
        <v>-3478.2177917492045</v>
      </c>
      <c r="F76" s="251">
        <f t="shared" ca="1" si="32"/>
        <v>548.3987888099357</v>
      </c>
      <c r="G76" s="251">
        <f t="shared" ca="1" si="33"/>
        <v>601.13574380993578</v>
      </c>
      <c r="H76" s="251">
        <f t="shared" ca="1" si="34"/>
        <v>655.45480745993586</v>
      </c>
      <c r="I76" s="254">
        <f t="shared" ca="1" si="37"/>
        <v>711.40344301943583</v>
      </c>
      <c r="J76" s="251">
        <f t="shared" ref="J76:J79" ca="1" si="38">+$J$35</f>
        <v>769.03053764572087</v>
      </c>
      <c r="K76" s="251">
        <f t="shared" ref="K76:K79" ca="1" si="39">+$K$35</f>
        <v>828.38644511079451</v>
      </c>
      <c r="L76" s="251">
        <f ca="1">+L35+L46</f>
        <v>4951.0077249126698</v>
      </c>
      <c r="M76" s="251"/>
      <c r="N76" s="251"/>
      <c r="O76" s="258"/>
    </row>
    <row r="77" spans="2:16" ht="15">
      <c r="B77" s="116" t="s">
        <v>106</v>
      </c>
      <c r="C77" s="282">
        <f ca="1">IRR(E77:M77,1)</f>
        <v>0.22220456611161077</v>
      </c>
      <c r="D77" s="283">
        <f ca="1">SUMIF(E77:M77,"&gt;0")/-SUMIF(E77:M77,"&lt;0")</f>
        <v>3.1568749801317031</v>
      </c>
      <c r="E77" s="209">
        <f t="shared" ca="1" si="36"/>
        <v>-3478.2177917492045</v>
      </c>
      <c r="F77" s="251">
        <f t="shared" ca="1" si="32"/>
        <v>548.3987888099357</v>
      </c>
      <c r="G77" s="251">
        <f t="shared" ca="1" si="33"/>
        <v>601.13574380993578</v>
      </c>
      <c r="H77" s="251">
        <f t="shared" ca="1" si="34"/>
        <v>655.45480745993586</v>
      </c>
      <c r="I77" s="254">
        <f t="shared" ca="1" si="37"/>
        <v>711.40344301943583</v>
      </c>
      <c r="J77" s="251">
        <f t="shared" ca="1" si="38"/>
        <v>769.03053764572087</v>
      </c>
      <c r="K77" s="251">
        <f t="shared" ca="1" si="39"/>
        <v>828.38644511079451</v>
      </c>
      <c r="L77" s="251">
        <f t="shared" ref="L77:L79" ca="1" si="40">+$L$35</f>
        <v>889.52302979982051</v>
      </c>
      <c r="M77" s="251">
        <f ca="1">+M35+M46</f>
        <v>5976.9659265647488</v>
      </c>
      <c r="N77" s="251"/>
      <c r="O77" s="258"/>
    </row>
    <row r="78" spans="2:16" ht="15">
      <c r="B78" s="116" t="s">
        <v>107</v>
      </c>
      <c r="C78" s="282">
        <f ca="1">IRR(E78:N78,1)</f>
        <v>0.23190811778725817</v>
      </c>
      <c r="D78" s="283">
        <f ca="1">SUMIF(E78:N78,"&gt;0")/-SUMIF(E78:N78,"&lt;0")</f>
        <v>3.7473595301802374</v>
      </c>
      <c r="E78" s="209">
        <f t="shared" ca="1" si="36"/>
        <v>-3478.2177917492045</v>
      </c>
      <c r="F78" s="251">
        <f t="shared" ca="1" si="32"/>
        <v>548.3987888099357</v>
      </c>
      <c r="G78" s="251">
        <f t="shared" ca="1" si="33"/>
        <v>601.13574380993578</v>
      </c>
      <c r="H78" s="251">
        <f t="shared" ca="1" si="34"/>
        <v>655.45480745993586</v>
      </c>
      <c r="I78" s="254">
        <f t="shared" ca="1" si="37"/>
        <v>711.40344301943583</v>
      </c>
      <c r="J78" s="251">
        <f t="shared" ca="1" si="38"/>
        <v>769.03053764572087</v>
      </c>
      <c r="K78" s="251">
        <f t="shared" ca="1" si="39"/>
        <v>828.38644511079451</v>
      </c>
      <c r="L78" s="251">
        <f t="shared" ca="1" si="40"/>
        <v>889.52302979982051</v>
      </c>
      <c r="M78" s="251">
        <f t="shared" ref="M78:M79" ca="1" si="41">+$M$35</f>
        <v>952.49371202951716</v>
      </c>
      <c r="N78" s="251">
        <f ca="1">+N35+N46</f>
        <v>7078.3060822668194</v>
      </c>
      <c r="O78" s="258"/>
    </row>
    <row r="79" spans="2:16" ht="15">
      <c r="B79" s="116" t="s">
        <v>108</v>
      </c>
      <c r="C79" s="282">
        <f ca="1">IRR(E79:O79,1)</f>
        <v>0.23786664953911574</v>
      </c>
      <c r="D79" s="283">
        <f ca="1">SUMIF(E79:O79,"&gt;0")/-SUMIF(E79:O79,"&lt;0")</f>
        <v>4.3799783724006325</v>
      </c>
      <c r="E79" s="209">
        <f t="shared" ca="1" si="36"/>
        <v>-3478.2177917492045</v>
      </c>
      <c r="F79" s="251">
        <f t="shared" ca="1" si="32"/>
        <v>548.3987888099357</v>
      </c>
      <c r="G79" s="251">
        <f t="shared" ca="1" si="33"/>
        <v>601.13574380993578</v>
      </c>
      <c r="H79" s="251">
        <f t="shared" ca="1" si="34"/>
        <v>655.45480745993586</v>
      </c>
      <c r="I79" s="254">
        <f t="shared" ca="1" si="37"/>
        <v>711.40344301943583</v>
      </c>
      <c r="J79" s="251">
        <f t="shared" ca="1" si="38"/>
        <v>769.03053764572087</v>
      </c>
      <c r="K79" s="251">
        <f t="shared" ca="1" si="39"/>
        <v>828.38644511079451</v>
      </c>
      <c r="L79" s="251">
        <f t="shared" ca="1" si="40"/>
        <v>889.52302979982051</v>
      </c>
      <c r="M79" s="251">
        <f t="shared" ca="1" si="41"/>
        <v>952.49371202951716</v>
      </c>
      <c r="N79" s="251">
        <f ca="1">+N35</f>
        <v>1017.3535147261045</v>
      </c>
      <c r="O79" s="253">
        <f ca="1">+O35+O46</f>
        <v>8261.3386799472082</v>
      </c>
    </row>
    <row r="80" spans="2:16">
      <c r="B80" s="117"/>
      <c r="C80" s="240"/>
      <c r="D80" s="240"/>
      <c r="E80" s="240"/>
      <c r="F80" s="259"/>
      <c r="G80" s="259"/>
      <c r="H80" s="259"/>
      <c r="I80" s="259"/>
      <c r="J80" s="260"/>
      <c r="K80" s="260"/>
      <c r="L80" s="260"/>
      <c r="M80" s="260"/>
      <c r="N80" s="260"/>
      <c r="O80" s="261"/>
    </row>
    <row r="81" spans="2:15" hidden="1">
      <c r="B81" s="109" t="s">
        <v>135</v>
      </c>
      <c r="C81" s="109"/>
      <c r="D81" s="109"/>
      <c r="E81" s="302">
        <f ca="1">+E79</f>
        <v>-3478.2177917492045</v>
      </c>
      <c r="F81" s="303">
        <f ca="1">+F79+E79</f>
        <v>-2929.819002939269</v>
      </c>
      <c r="G81" s="303">
        <f t="shared" ref="G81:O81" ca="1" si="42">+G79+F79</f>
        <v>1149.5345326198715</v>
      </c>
      <c r="H81" s="303">
        <f t="shared" ca="1" si="42"/>
        <v>1256.5905512698716</v>
      </c>
      <c r="I81" s="303">
        <f t="shared" ca="1" si="42"/>
        <v>1366.8582504793717</v>
      </c>
      <c r="J81" s="303">
        <f t="shared" ca="1" si="42"/>
        <v>1480.4339806651567</v>
      </c>
      <c r="K81" s="303">
        <f t="shared" ca="1" si="42"/>
        <v>1597.4169827565154</v>
      </c>
      <c r="L81" s="303">
        <f t="shared" ca="1" si="42"/>
        <v>1717.909474910615</v>
      </c>
      <c r="M81" s="303">
        <f t="shared" ca="1" si="42"/>
        <v>1842.0167418293377</v>
      </c>
      <c r="N81" s="303">
        <f t="shared" ca="1" si="42"/>
        <v>1969.8472267556217</v>
      </c>
      <c r="O81" s="303">
        <f t="shared" ca="1" si="42"/>
        <v>9278.6921946733128</v>
      </c>
    </row>
    <row r="82" spans="2:15" hidden="1"/>
  </sheetData>
  <mergeCells count="5">
    <mergeCell ref="B17:C17"/>
    <mergeCell ref="Q8:V8"/>
    <mergeCell ref="Q20:V20"/>
    <mergeCell ref="B4:D4"/>
    <mergeCell ref="G4:I4"/>
  </mergeCells>
  <conditionalFormatting sqref="F33:O33">
    <cfRule type="cellIs" dxfId="0" priority="1" operator="lessThan">
      <formula>1.25</formula>
    </cfRule>
  </conditionalFormatting>
  <pageMargins left="0.7" right="0.7" top="0.75" bottom="0.75" header="0.3" footer="0.3"/>
  <pageSetup scale="60" fitToHeight="2" orientation="landscape" r:id="rId1"/>
  <rowBreaks count="1" manualBreakCount="1">
    <brk id="4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39997558519241921"/>
    <pageSetUpPr fitToPage="1"/>
  </sheetPr>
  <dimension ref="A1:G24"/>
  <sheetViews>
    <sheetView showGridLines="0" zoomScaleNormal="100" workbookViewId="0">
      <selection activeCell="H21" sqref="H21"/>
    </sheetView>
  </sheetViews>
  <sheetFormatPr defaultRowHeight="12"/>
  <cols>
    <col min="2" max="2" width="15.85546875" customWidth="1"/>
    <col min="3" max="3" width="14.28515625" bestFit="1" customWidth="1"/>
    <col min="4" max="4" width="10.7109375" bestFit="1" customWidth="1"/>
    <col min="5" max="5" width="12.85546875" bestFit="1" customWidth="1"/>
    <col min="6" max="6" width="10.28515625" bestFit="1" customWidth="1"/>
    <col min="7" max="7" width="11.7109375" bestFit="1" customWidth="1"/>
  </cols>
  <sheetData>
    <row r="1" spans="1:7" ht="15.75">
      <c r="A1" s="3" t="s">
        <v>39</v>
      </c>
    </row>
    <row r="2" spans="1:7" ht="15.75">
      <c r="A2" s="3" t="s">
        <v>130</v>
      </c>
    </row>
    <row r="6" spans="1:7" ht="15">
      <c r="B6" s="337" t="s">
        <v>127</v>
      </c>
      <c r="C6" s="338"/>
      <c r="D6" s="338"/>
      <c r="E6" s="338"/>
      <c r="F6" s="338"/>
      <c r="G6" s="338"/>
    </row>
    <row r="7" spans="1:7" ht="15">
      <c r="B7" s="214"/>
      <c r="C7" s="299">
        <f>'2. Summary'!R10</f>
        <v>7.4999999999999997E-2</v>
      </c>
      <c r="D7" s="299">
        <f>'2. Summary'!S10</f>
        <v>7.7499999999999999E-2</v>
      </c>
      <c r="E7" s="299">
        <f>'2. Summary'!T10</f>
        <v>0.08</v>
      </c>
      <c r="F7" s="299">
        <f>'2. Summary'!U10</f>
        <v>8.2500000000000004E-2</v>
      </c>
      <c r="G7" s="299">
        <f>'2. Summary'!V10</f>
        <v>8.5000000000000006E-2</v>
      </c>
    </row>
    <row r="8" spans="1:7" ht="14.25">
      <c r="B8" s="297">
        <f>+'2. Summary'!Q11</f>
        <v>14000</v>
      </c>
      <c r="C8" s="289">
        <f>+'2. Summary'!R11</f>
        <v>2.4815652678450206E-2</v>
      </c>
      <c r="D8" s="290">
        <f>+'2. Summary'!S11</f>
        <v>1.8913610617321552E-2</v>
      </c>
      <c r="E8" s="290">
        <f>+'2. Summary'!T11</f>
        <v>1.2931832266429799E-2</v>
      </c>
      <c r="F8" s="290">
        <f>+'2. Summary'!U11</f>
        <v>6.8680478502944897E-3</v>
      </c>
      <c r="G8" s="290">
        <f>+'2. Summary'!V11</f>
        <v>7.1985271924090988E-4</v>
      </c>
    </row>
    <row r="9" spans="1:7" ht="14.25">
      <c r="B9" s="297">
        <f>+'2. Summary'!Q12</f>
        <v>13000</v>
      </c>
      <c r="C9" s="291">
        <f>+'2. Summary'!R12</f>
        <v>8.3931935856909501E-2</v>
      </c>
      <c r="D9" s="292">
        <f>+'2. Summary'!S12</f>
        <v>7.8646297425353451E-2</v>
      </c>
      <c r="E9" s="292">
        <f>+'2. Summary'!T12</f>
        <v>7.3303265263989781E-2</v>
      </c>
      <c r="F9" s="292">
        <f>+'2. Summary'!U12</f>
        <v>6.7901717282669249E-2</v>
      </c>
      <c r="G9" s="292">
        <f>+'2. Summary'!V12</f>
        <v>6.244047504600303E-2</v>
      </c>
    </row>
    <row r="10" spans="1:7" ht="14.25">
      <c r="B10" s="297">
        <f>+'2. Summary'!Q13</f>
        <v>12000</v>
      </c>
      <c r="C10" s="293">
        <f>+'2. Summary'!R13</f>
        <v>0.14478965315532433</v>
      </c>
      <c r="D10" s="294">
        <f>+'2. Summary'!S13</f>
        <v>0.13997445759537586</v>
      </c>
      <c r="E10" s="294">
        <f>+'2. Summary'!T13</f>
        <v>0.13511607142041626</v>
      </c>
      <c r="F10" s="294">
        <f>+'2. Summary'!U13</f>
        <v>0.13021395635379185</v>
      </c>
      <c r="G10" s="294">
        <f>+'2. Summary'!V13</f>
        <v>0.12526754949528951</v>
      </c>
    </row>
    <row r="11" spans="1:7" ht="14.25">
      <c r="B11" s="298">
        <f>+'2. Summary'!Q14</f>
        <v>11000</v>
      </c>
      <c r="C11" s="295">
        <f>+'2. Summary'!R14</f>
        <v>0.2092458402216284</v>
      </c>
      <c r="D11" s="296">
        <f>+'2. Summary'!S14</f>
        <v>0.20479803109948302</v>
      </c>
      <c r="E11" s="296">
        <f>+'2. Summary'!T14</f>
        <v>0.20031647920830098</v>
      </c>
      <c r="F11" s="296">
        <f>+'2. Summary'!U14</f>
        <v>0.19580096215333054</v>
      </c>
      <c r="G11" s="296">
        <f>+'2. Summary'!V14</f>
        <v>0.19125124650549541</v>
      </c>
    </row>
    <row r="12" spans="1:7" ht="14.25">
      <c r="B12" s="297">
        <f>+'2. Summary'!Q15</f>
        <v>10000</v>
      </c>
      <c r="C12" s="293">
        <f>+'2. Summary'!R15</f>
        <v>0.2794584351818501</v>
      </c>
      <c r="D12" s="294">
        <f>+'2. Summary'!S15</f>
        <v>0.27530035600713054</v>
      </c>
      <c r="E12" s="294">
        <f>+'2. Summary'!T15</f>
        <v>0.27111500414852485</v>
      </c>
      <c r="F12" s="294">
        <f>+'2. Summary'!U15</f>
        <v>0.26690233536786723</v>
      </c>
      <c r="G12" s="294">
        <f>+'2. Summary'!V15</f>
        <v>0.26266230035613414</v>
      </c>
    </row>
    <row r="13" spans="1:7" ht="14.25">
      <c r="B13" s="297">
        <f>+'2. Summary'!Q16</f>
        <v>9000</v>
      </c>
      <c r="C13" s="293">
        <f>+'2. Summary'!R16</f>
        <v>0.35824726672961571</v>
      </c>
      <c r="D13" s="294">
        <f>+'2. Summary'!S16</f>
        <v>0.35431646461230537</v>
      </c>
      <c r="E13" s="294">
        <f>+'2. Summary'!T16</f>
        <v>0.35036287791345333</v>
      </c>
      <c r="F13" s="294">
        <f>+'2. Summary'!U16</f>
        <v>0.34638656549356761</v>
      </c>
      <c r="G13" s="294">
        <f>+'2. Summary'!V16</f>
        <v>0.3423875836823469</v>
      </c>
    </row>
    <row r="14" spans="1:7" ht="14.25">
      <c r="B14" s="297">
        <f>+'2. Summary'!Q17</f>
        <v>8000</v>
      </c>
      <c r="C14" s="293">
        <f>+'2. Summary'!R17</f>
        <v>0.44965276315254887</v>
      </c>
      <c r="D14" s="294">
        <f>+'2. Summary'!S17</f>
        <v>0.44589533199656728</v>
      </c>
      <c r="E14" s="294">
        <f>+'2. Summary'!T17</f>
        <v>0.44211820125808687</v>
      </c>
      <c r="F14" s="294">
        <f>+'2. Summary'!U17</f>
        <v>0.43832149008605414</v>
      </c>
      <c r="G14" s="294">
        <f>+'2. Summary'!V17</f>
        <v>0.43450531597797615</v>
      </c>
    </row>
    <row r="16" spans="1:7" ht="15">
      <c r="B16" s="337" t="s">
        <v>128</v>
      </c>
      <c r="C16" s="338"/>
      <c r="D16" s="338"/>
      <c r="E16" s="338"/>
      <c r="F16" s="338"/>
      <c r="G16" s="338"/>
    </row>
    <row r="17" spans="2:7" ht="15">
      <c r="B17" s="214"/>
      <c r="C17" s="299">
        <f>+'2. Summary'!R22</f>
        <v>0.6</v>
      </c>
      <c r="D17" s="299">
        <f>+'2. Summary'!S22</f>
        <v>0.65</v>
      </c>
      <c r="E17" s="299">
        <f>+'2. Summary'!T22</f>
        <v>0.7</v>
      </c>
      <c r="F17" s="299">
        <f>+'2. Summary'!U22</f>
        <v>0.75</v>
      </c>
      <c r="G17" s="299">
        <f>+'2. Summary'!V22</f>
        <v>0.8</v>
      </c>
    </row>
    <row r="18" spans="2:7" ht="14.25">
      <c r="B18" s="297">
        <f>+'2. Summary'!Q23</f>
        <v>14000</v>
      </c>
      <c r="C18" s="289">
        <f>+'2. Summary'!R23</f>
        <v>2.9422191411611731E-2</v>
      </c>
      <c r="D18" s="290">
        <f>+'2. Summary'!S23</f>
        <v>2.2320135254006779E-2</v>
      </c>
      <c r="E18" s="290">
        <f>+'2. Summary'!T23</f>
        <v>1.2931832266429799E-2</v>
      </c>
      <c r="F18" s="290">
        <f>+'2. Summary'!U23</f>
        <v>-5.4439106192738507E-5</v>
      </c>
      <c r="G18" s="290">
        <f>+'2. Summary'!V23</f>
        <v>-1.9185148620802783E-2</v>
      </c>
    </row>
    <row r="19" spans="2:7" ht="14.25">
      <c r="B19" s="297">
        <f>+'2. Summary'!Q24</f>
        <v>13000</v>
      </c>
      <c r="C19" s="291">
        <f>+'2. Summary'!R24</f>
        <v>7.4985248918224778E-2</v>
      </c>
      <c r="D19" s="292">
        <f>+'2. Summary'!S24</f>
        <v>7.4254488540567154E-2</v>
      </c>
      <c r="E19" s="292">
        <f>+'2. Summary'!T24</f>
        <v>7.3303265263989781E-2</v>
      </c>
      <c r="F19" s="292">
        <f>+'2. Summary'!U24</f>
        <v>7.2014228037734496E-2</v>
      </c>
      <c r="G19" s="292">
        <f>+'2. Summary'!V24</f>
        <v>7.0168948306167156E-2</v>
      </c>
    </row>
    <row r="20" spans="2:7" ht="14.25">
      <c r="B20" s="297">
        <f>+'2. Summary'!Q25</f>
        <v>12000</v>
      </c>
      <c r="C20" s="293">
        <f>+'2. Summary'!R25</f>
        <v>0.12297950354229603</v>
      </c>
      <c r="D20" s="294">
        <f>+'2. Summary'!S25</f>
        <v>0.1282826023074235</v>
      </c>
      <c r="E20" s="294">
        <f>+'2. Summary'!T25</f>
        <v>0.13511607142041626</v>
      </c>
      <c r="F20" s="294">
        <f>+'2. Summary'!U25</f>
        <v>0.14426404843956941</v>
      </c>
      <c r="G20" s="294">
        <f>+'2. Summary'!V25</f>
        <v>0.15716792528325296</v>
      </c>
    </row>
    <row r="21" spans="2:7" ht="14.25">
      <c r="B21" s="298">
        <f>+'2. Summary'!Q26</f>
        <v>11000</v>
      </c>
      <c r="C21" s="295">
        <f>+'2. Summary'!R26</f>
        <v>0.17456770389648546</v>
      </c>
      <c r="D21" s="296">
        <f>+'2. Summary'!S26</f>
        <v>0.18585767617064741</v>
      </c>
      <c r="E21" s="296">
        <f>+'2. Summary'!T26</f>
        <v>0.20031647920830098</v>
      </c>
      <c r="F21" s="296">
        <f>+'2. Summary'!U26</f>
        <v>0.21954785050942349</v>
      </c>
      <c r="G21" s="296">
        <f>+'2. Summary'!V26</f>
        <v>0.24650947893937558</v>
      </c>
    </row>
    <row r="22" spans="2:7" ht="14.25">
      <c r="B22" s="297">
        <f>+'2. Summary'!Q27</f>
        <v>10000</v>
      </c>
      <c r="C22" s="293">
        <f>+'2. Summary'!R27</f>
        <v>0.23123326260805799</v>
      </c>
      <c r="D22" s="294">
        <f>+'2. Summary'!S27</f>
        <v>0.24874905685985338</v>
      </c>
      <c r="E22" s="294">
        <f>+'2. Summary'!T27</f>
        <v>0.27111500414852485</v>
      </c>
      <c r="F22" s="294">
        <f>+'2. Summary'!U27</f>
        <v>0.3008007967632631</v>
      </c>
      <c r="G22" s="294">
        <f>+'2. Summary'!V27</f>
        <v>0.34241594782623341</v>
      </c>
    </row>
    <row r="23" spans="2:7" ht="14.25">
      <c r="B23" s="297">
        <f>+'2. Summary'!Q28</f>
        <v>9000</v>
      </c>
      <c r="C23" s="293">
        <f>+'2. Summary'!R28</f>
        <v>0.29500473665546778</v>
      </c>
      <c r="D23" s="294">
        <f>+'2. Summary'!S28</f>
        <v>0.3193200839628394</v>
      </c>
      <c r="E23" s="294">
        <f>+'2. Summary'!T28</f>
        <v>0.35036287791345333</v>
      </c>
      <c r="F23" s="294">
        <f>+'2. Summary'!U28</f>
        <v>0.39162630270103471</v>
      </c>
      <c r="G23" s="294">
        <f>+'2. Summary'!V28</f>
        <v>0.4497398729443467</v>
      </c>
    </row>
    <row r="24" spans="2:7" ht="14.25">
      <c r="B24" s="297">
        <f>+'2. Summary'!Q29</f>
        <v>8000</v>
      </c>
      <c r="C24" s="293">
        <f>+'2. Summary'!R29</f>
        <v>0.36883843619801104</v>
      </c>
      <c r="D24" s="294">
        <f>+'2. Summary'!S29</f>
        <v>0.40098245290349066</v>
      </c>
      <c r="E24" s="294">
        <f>+'2. Summary'!T29</f>
        <v>0.44211820125808687</v>
      </c>
      <c r="F24" s="294">
        <f>+'2. Summary'!U29</f>
        <v>0.49705322006164598</v>
      </c>
      <c r="G24" s="294">
        <f>+'2. Summary'!V29</f>
        <v>0.575085674357529</v>
      </c>
    </row>
  </sheetData>
  <mergeCells count="2">
    <mergeCell ref="B6:G6"/>
    <mergeCell ref="B16:G16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  <pageSetUpPr fitToPage="1"/>
  </sheetPr>
  <dimension ref="A1:J128"/>
  <sheetViews>
    <sheetView showGridLines="0" zoomScaleNormal="100" workbookViewId="0">
      <pane ySplit="8" topLeftCell="A9" activePane="bottomLeft" state="frozen"/>
      <selection activeCell="Y22" sqref="Y22"/>
      <selection pane="bottomLeft" activeCell="H18" sqref="H18"/>
    </sheetView>
  </sheetViews>
  <sheetFormatPr defaultRowHeight="12"/>
  <cols>
    <col min="2" max="2" width="24.7109375" bestFit="1" customWidth="1"/>
    <col min="3" max="3" width="11.140625" bestFit="1" customWidth="1"/>
    <col min="6" max="6" width="9.28515625" bestFit="1" customWidth="1"/>
    <col min="7" max="7" width="15.7109375" bestFit="1" customWidth="1"/>
    <col min="8" max="8" width="14.7109375" bestFit="1" customWidth="1"/>
    <col min="9" max="9" width="12.140625" bestFit="1" customWidth="1"/>
    <col min="10" max="10" width="14.7109375" bestFit="1" customWidth="1"/>
  </cols>
  <sheetData>
    <row r="1" spans="1:10" ht="15.75">
      <c r="A1" s="3" t="s">
        <v>39</v>
      </c>
    </row>
    <row r="2" spans="1:10" ht="15.75">
      <c r="A2" s="3" t="s">
        <v>129</v>
      </c>
    </row>
    <row r="5" spans="1:10" ht="15">
      <c r="B5" s="167" t="s">
        <v>87</v>
      </c>
      <c r="C5" s="286">
        <f ca="1">+'2. Summary'!C18</f>
        <v>8115.8415140814996</v>
      </c>
    </row>
    <row r="6" spans="1:10" ht="15">
      <c r="B6" s="72" t="s">
        <v>22</v>
      </c>
      <c r="C6" s="287">
        <f>+'2. Summary'!C19</f>
        <v>0.08</v>
      </c>
    </row>
    <row r="7" spans="1:10" ht="15">
      <c r="B7" s="164" t="s">
        <v>120</v>
      </c>
      <c r="C7" s="288">
        <f>+'2. Summary'!C20</f>
        <v>10</v>
      </c>
    </row>
    <row r="8" spans="1:10" ht="15">
      <c r="B8" s="112"/>
      <c r="C8" s="170"/>
      <c r="F8" s="284" t="s">
        <v>43</v>
      </c>
      <c r="G8" s="285" t="s">
        <v>40</v>
      </c>
      <c r="H8" s="284" t="s">
        <v>41</v>
      </c>
      <c r="I8" s="284" t="s">
        <v>119</v>
      </c>
      <c r="J8" s="284" t="s">
        <v>23</v>
      </c>
    </row>
    <row r="9" spans="1:10">
      <c r="B9" s="11"/>
      <c r="C9" s="171"/>
      <c r="F9" s="172">
        <v>1</v>
      </c>
      <c r="G9" s="160">
        <f t="shared" ref="G9:G40" ca="1" si="0">+PPMT($C$6/12,F9,$C$7*12,-$C$5)</f>
        <v>44.361942613407933</v>
      </c>
      <c r="H9" s="160">
        <f t="shared" ref="H9:H40" ca="1" si="1">+IPMT($C$6/12,F9,$C$7*12,-$C$5)</f>
        <v>54.10561009387667</v>
      </c>
      <c r="I9" s="160">
        <f ca="1">+SUM(G9:H9)</f>
        <v>98.467552707284597</v>
      </c>
      <c r="J9" s="161">
        <f ca="1">+C5-G9</f>
        <v>8071.4795714680913</v>
      </c>
    </row>
    <row r="10" spans="1:10">
      <c r="B10" s="11"/>
      <c r="C10" s="168"/>
      <c r="F10" s="44">
        <v>2</v>
      </c>
      <c r="G10" s="162">
        <f t="shared" ca="1" si="0"/>
        <v>44.657688897497323</v>
      </c>
      <c r="H10" s="162">
        <f t="shared" ca="1" si="1"/>
        <v>53.809863809787281</v>
      </c>
      <c r="I10" s="162">
        <f t="shared" ref="I10:I68" ca="1" si="2">+SUM(G10:H10)</f>
        <v>98.467552707284597</v>
      </c>
      <c r="J10" s="163">
        <f t="shared" ref="J10:J41" ca="1" si="3">+J9-G10</f>
        <v>8026.8218825705944</v>
      </c>
    </row>
    <row r="11" spans="1:10">
      <c r="B11" s="11"/>
      <c r="C11" s="168"/>
      <c r="F11" s="44">
        <v>3</v>
      </c>
      <c r="G11" s="162">
        <f t="shared" ca="1" si="0"/>
        <v>44.955406823480637</v>
      </c>
      <c r="H11" s="162">
        <f t="shared" ca="1" si="1"/>
        <v>53.512145883803967</v>
      </c>
      <c r="I11" s="162">
        <f t="shared" ca="1" si="2"/>
        <v>98.467552707284597</v>
      </c>
      <c r="J11" s="163">
        <f t="shared" ca="1" si="3"/>
        <v>7981.8664757471142</v>
      </c>
    </row>
    <row r="12" spans="1:10">
      <c r="B12" s="11"/>
      <c r="C12" s="169"/>
      <c r="F12" s="44">
        <v>4</v>
      </c>
      <c r="G12" s="162">
        <f t="shared" ca="1" si="0"/>
        <v>45.255109535637175</v>
      </c>
      <c r="H12" s="162">
        <f t="shared" ca="1" si="1"/>
        <v>53.212443171647429</v>
      </c>
      <c r="I12" s="162">
        <f t="shared" ca="1" si="2"/>
        <v>98.467552707284597</v>
      </c>
      <c r="J12" s="163">
        <f t="shared" ca="1" si="3"/>
        <v>7936.6113662114767</v>
      </c>
    </row>
    <row r="13" spans="1:10">
      <c r="B13" s="11"/>
      <c r="C13" s="169"/>
      <c r="F13" s="44">
        <v>5</v>
      </c>
      <c r="G13" s="162">
        <f t="shared" ca="1" si="0"/>
        <v>45.556810265874759</v>
      </c>
      <c r="H13" s="162">
        <f t="shared" ca="1" si="1"/>
        <v>52.910742441409838</v>
      </c>
      <c r="I13" s="162">
        <f t="shared" ca="1" si="2"/>
        <v>98.467552707284597</v>
      </c>
      <c r="J13" s="163">
        <f t="shared" ca="1" si="3"/>
        <v>7891.0545559456023</v>
      </c>
    </row>
    <row r="14" spans="1:10">
      <c r="F14" s="44">
        <v>6</v>
      </c>
      <c r="G14" s="162">
        <f t="shared" ca="1" si="0"/>
        <v>45.86052233431392</v>
      </c>
      <c r="H14" s="162">
        <f t="shared" ca="1" si="1"/>
        <v>52.607030372970677</v>
      </c>
      <c r="I14" s="162">
        <f t="shared" ca="1" si="2"/>
        <v>98.467552707284597</v>
      </c>
      <c r="J14" s="163">
        <f t="shared" ca="1" si="3"/>
        <v>7845.1940336112884</v>
      </c>
    </row>
    <row r="15" spans="1:10">
      <c r="F15" s="44">
        <v>7</v>
      </c>
      <c r="G15" s="162">
        <f t="shared" ca="1" si="0"/>
        <v>46.166259149876005</v>
      </c>
      <c r="H15" s="162">
        <f t="shared" ca="1" si="1"/>
        <v>52.301293557408592</v>
      </c>
      <c r="I15" s="162">
        <f t="shared" ca="1" si="2"/>
        <v>98.467552707284597</v>
      </c>
      <c r="J15" s="163">
        <f t="shared" ca="1" si="3"/>
        <v>7799.0277744614123</v>
      </c>
    </row>
    <row r="16" spans="1:10">
      <c r="F16" s="44">
        <v>8</v>
      </c>
      <c r="G16" s="162">
        <f t="shared" ca="1" si="0"/>
        <v>46.474034210875189</v>
      </c>
      <c r="H16" s="162">
        <f t="shared" ca="1" si="1"/>
        <v>51.993518496409422</v>
      </c>
      <c r="I16" s="162">
        <f t="shared" ca="1" si="2"/>
        <v>98.467552707284611</v>
      </c>
      <c r="J16" s="163">
        <f t="shared" ca="1" si="3"/>
        <v>7752.553740250537</v>
      </c>
    </row>
    <row r="17" spans="6:10">
      <c r="F17" s="44">
        <v>9</v>
      </c>
      <c r="G17" s="162">
        <f t="shared" ca="1" si="0"/>
        <v>46.783861105614349</v>
      </c>
      <c r="H17" s="162">
        <f t="shared" ca="1" si="1"/>
        <v>51.68369160167024</v>
      </c>
      <c r="I17" s="162">
        <f t="shared" ca="1" si="2"/>
        <v>98.467552707284597</v>
      </c>
      <c r="J17" s="163">
        <f t="shared" ca="1" si="3"/>
        <v>7705.7698791449229</v>
      </c>
    </row>
    <row r="18" spans="6:10">
      <c r="F18" s="44">
        <v>10</v>
      </c>
      <c r="G18" s="162">
        <f t="shared" ca="1" si="0"/>
        <v>47.095753512985112</v>
      </c>
      <c r="H18" s="162">
        <f t="shared" ca="1" si="1"/>
        <v>51.371799194299491</v>
      </c>
      <c r="I18" s="162">
        <f t="shared" ca="1" si="2"/>
        <v>98.467552707284597</v>
      </c>
      <c r="J18" s="163">
        <f t="shared" ca="1" si="3"/>
        <v>7658.6741256319374</v>
      </c>
    </row>
    <row r="19" spans="6:10">
      <c r="F19" s="44">
        <v>11</v>
      </c>
      <c r="G19" s="162">
        <f t="shared" ca="1" si="0"/>
        <v>47.409725203071687</v>
      </c>
      <c r="H19" s="162">
        <f t="shared" ca="1" si="1"/>
        <v>51.057827504212916</v>
      </c>
      <c r="I19" s="162">
        <f t="shared" ca="1" si="2"/>
        <v>98.467552707284597</v>
      </c>
      <c r="J19" s="163">
        <f t="shared" ca="1" si="3"/>
        <v>7611.2644004288659</v>
      </c>
    </row>
    <row r="20" spans="6:10">
      <c r="F20" s="44">
        <v>12</v>
      </c>
      <c r="G20" s="162">
        <f t="shared" ca="1" si="0"/>
        <v>47.725790037758834</v>
      </c>
      <c r="H20" s="162">
        <f t="shared" ca="1" si="1"/>
        <v>50.74176266952577</v>
      </c>
      <c r="I20" s="162">
        <f t="shared" ca="1" si="2"/>
        <v>98.467552707284597</v>
      </c>
      <c r="J20" s="163">
        <f t="shared" ca="1" si="3"/>
        <v>7563.5386103911069</v>
      </c>
    </row>
    <row r="21" spans="6:10">
      <c r="F21" s="44">
        <v>13</v>
      </c>
      <c r="G21" s="162">
        <f t="shared" ca="1" si="0"/>
        <v>48.043961971343883</v>
      </c>
      <c r="H21" s="162">
        <f t="shared" ca="1" si="1"/>
        <v>50.423590735940714</v>
      </c>
      <c r="I21" s="162">
        <f t="shared" ca="1" si="2"/>
        <v>98.467552707284597</v>
      </c>
      <c r="J21" s="163">
        <f t="shared" ca="1" si="3"/>
        <v>7515.4946484197626</v>
      </c>
    </row>
    <row r="22" spans="6:10">
      <c r="F22" s="44">
        <v>14</v>
      </c>
      <c r="G22" s="162">
        <f t="shared" ca="1" si="0"/>
        <v>48.364255051152846</v>
      </c>
      <c r="H22" s="162">
        <f t="shared" ca="1" si="1"/>
        <v>50.103297656131751</v>
      </c>
      <c r="I22" s="162">
        <f t="shared" ca="1" si="2"/>
        <v>98.467552707284597</v>
      </c>
      <c r="J22" s="163">
        <f t="shared" ca="1" si="3"/>
        <v>7467.1303933686095</v>
      </c>
    </row>
    <row r="23" spans="6:10">
      <c r="F23" s="44">
        <v>15</v>
      </c>
      <c r="G23" s="162">
        <f t="shared" ca="1" si="0"/>
        <v>48.686683418160534</v>
      </c>
      <c r="H23" s="162">
        <f t="shared" ca="1" si="1"/>
        <v>49.78086928912407</v>
      </c>
      <c r="I23" s="162">
        <f t="shared" ca="1" si="2"/>
        <v>98.467552707284597</v>
      </c>
      <c r="J23" s="163">
        <f t="shared" ca="1" si="3"/>
        <v>7418.4437099504494</v>
      </c>
    </row>
    <row r="24" spans="6:10">
      <c r="F24" s="44">
        <v>16</v>
      </c>
      <c r="G24" s="162">
        <f t="shared" ca="1" si="0"/>
        <v>49.011261307614937</v>
      </c>
      <c r="H24" s="162">
        <f t="shared" ca="1" si="1"/>
        <v>49.456291399669659</v>
      </c>
      <c r="I24" s="162">
        <f t="shared" ca="1" si="2"/>
        <v>98.467552707284597</v>
      </c>
      <c r="J24" s="163">
        <f t="shared" ca="1" si="3"/>
        <v>7369.4324486428341</v>
      </c>
    </row>
    <row r="25" spans="6:10">
      <c r="F25" s="44">
        <v>17</v>
      </c>
      <c r="G25" s="162">
        <f t="shared" ca="1" si="0"/>
        <v>49.338003049665708</v>
      </c>
      <c r="H25" s="162">
        <f t="shared" ca="1" si="1"/>
        <v>49.129549657618902</v>
      </c>
      <c r="I25" s="162">
        <f t="shared" ca="1" si="2"/>
        <v>98.467552707284611</v>
      </c>
      <c r="J25" s="163">
        <f t="shared" ca="1" si="3"/>
        <v>7320.0944455931685</v>
      </c>
    </row>
    <row r="26" spans="6:10">
      <c r="F26" s="44">
        <v>18</v>
      </c>
      <c r="G26" s="162">
        <f t="shared" ca="1" si="0"/>
        <v>49.666923069996813</v>
      </c>
      <c r="H26" s="162">
        <f t="shared" ca="1" si="1"/>
        <v>48.800629637287798</v>
      </c>
      <c r="I26" s="162">
        <f t="shared" ca="1" si="2"/>
        <v>98.467552707284611</v>
      </c>
      <c r="J26" s="163">
        <f t="shared" ca="1" si="3"/>
        <v>7270.4275225231713</v>
      </c>
    </row>
    <row r="27" spans="6:10">
      <c r="F27" s="44">
        <v>19</v>
      </c>
      <c r="G27" s="162">
        <f t="shared" ca="1" si="0"/>
        <v>49.998035890463456</v>
      </c>
      <c r="H27" s="162">
        <f t="shared" ca="1" si="1"/>
        <v>48.469516816821148</v>
      </c>
      <c r="I27" s="162">
        <f t="shared" ca="1" si="2"/>
        <v>98.467552707284597</v>
      </c>
      <c r="J27" s="163">
        <f t="shared" ca="1" si="3"/>
        <v>7220.4294866327082</v>
      </c>
    </row>
    <row r="28" spans="6:10">
      <c r="F28" s="44">
        <v>20</v>
      </c>
      <c r="G28" s="162">
        <f t="shared" ca="1" si="0"/>
        <v>50.331356129733209</v>
      </c>
      <c r="H28" s="162">
        <f t="shared" ca="1" si="1"/>
        <v>48.136196577551388</v>
      </c>
      <c r="I28" s="162">
        <f t="shared" ca="1" si="2"/>
        <v>98.467552707284597</v>
      </c>
      <c r="J28" s="163">
        <f t="shared" ca="1" si="3"/>
        <v>7170.0981305029745</v>
      </c>
    </row>
    <row r="29" spans="6:10">
      <c r="F29" s="44">
        <v>21</v>
      </c>
      <c r="G29" s="162">
        <f t="shared" ca="1" si="0"/>
        <v>50.666898503931428</v>
      </c>
      <c r="H29" s="162">
        <f t="shared" ca="1" si="1"/>
        <v>47.800654203353169</v>
      </c>
      <c r="I29" s="162">
        <f t="shared" ca="1" si="2"/>
        <v>98.467552707284597</v>
      </c>
      <c r="J29" s="163">
        <f t="shared" ca="1" si="3"/>
        <v>7119.4312319990431</v>
      </c>
    </row>
    <row r="30" spans="6:10">
      <c r="F30" s="44">
        <v>22</v>
      </c>
      <c r="G30" s="162">
        <f t="shared" ca="1" si="0"/>
        <v>51.004677827290969</v>
      </c>
      <c r="H30" s="162">
        <f t="shared" ca="1" si="1"/>
        <v>47.462874879993635</v>
      </c>
      <c r="I30" s="162">
        <f t="shared" ca="1" si="2"/>
        <v>98.467552707284597</v>
      </c>
      <c r="J30" s="163">
        <f t="shared" ca="1" si="3"/>
        <v>7068.4265541717523</v>
      </c>
    </row>
    <row r="31" spans="6:10">
      <c r="F31" s="44">
        <v>23</v>
      </c>
      <c r="G31" s="162">
        <f t="shared" ca="1" si="0"/>
        <v>51.344709012806241</v>
      </c>
      <c r="H31" s="162">
        <f t="shared" ca="1" si="1"/>
        <v>47.122843694478355</v>
      </c>
      <c r="I31" s="162">
        <f t="shared" ca="1" si="2"/>
        <v>98.467552707284597</v>
      </c>
      <c r="J31" s="163">
        <f t="shared" ca="1" si="3"/>
        <v>7017.0818451589457</v>
      </c>
    </row>
    <row r="32" spans="6:10">
      <c r="F32" s="44">
        <v>24</v>
      </c>
      <c r="G32" s="162">
        <f t="shared" ca="1" si="0"/>
        <v>51.687007072891618</v>
      </c>
      <c r="H32" s="162">
        <f t="shared" ca="1" si="1"/>
        <v>46.780545634392972</v>
      </c>
      <c r="I32" s="162">
        <f t="shared" ca="1" si="2"/>
        <v>98.467552707284597</v>
      </c>
      <c r="J32" s="163">
        <f t="shared" ca="1" si="3"/>
        <v>6965.3948380860538</v>
      </c>
    </row>
    <row r="33" spans="6:10">
      <c r="F33" s="44">
        <v>25</v>
      </c>
      <c r="G33" s="162">
        <f t="shared" ca="1" si="0"/>
        <v>52.031587120044236</v>
      </c>
      <c r="H33" s="162">
        <f t="shared" ca="1" si="1"/>
        <v>46.435965587240368</v>
      </c>
      <c r="I33" s="162">
        <f t="shared" ca="1" si="2"/>
        <v>98.467552707284597</v>
      </c>
      <c r="J33" s="163">
        <f t="shared" ca="1" si="3"/>
        <v>6913.3632509660092</v>
      </c>
    </row>
    <row r="34" spans="6:10">
      <c r="F34" s="44">
        <v>26</v>
      </c>
      <c r="G34" s="162">
        <f t="shared" ca="1" si="0"/>
        <v>52.378464367511192</v>
      </c>
      <c r="H34" s="162">
        <f t="shared" ca="1" si="1"/>
        <v>46.089088339773411</v>
      </c>
      <c r="I34" s="162">
        <f t="shared" ca="1" si="2"/>
        <v>98.467552707284597</v>
      </c>
      <c r="J34" s="163">
        <f t="shared" ca="1" si="3"/>
        <v>6860.9847865984984</v>
      </c>
    </row>
    <row r="35" spans="6:10">
      <c r="F35" s="44">
        <v>27</v>
      </c>
      <c r="G35" s="162">
        <f t="shared" ca="1" si="0"/>
        <v>52.727654129961266</v>
      </c>
      <c r="H35" s="162">
        <f t="shared" ca="1" si="1"/>
        <v>45.739898577323338</v>
      </c>
      <c r="I35" s="162">
        <f t="shared" ca="1" si="2"/>
        <v>98.467552707284597</v>
      </c>
      <c r="J35" s="163">
        <f t="shared" ca="1" si="3"/>
        <v>6808.2571324685368</v>
      </c>
    </row>
    <row r="36" spans="6:10">
      <c r="F36" s="44">
        <v>28</v>
      </c>
      <c r="G36" s="162">
        <f t="shared" ca="1" si="0"/>
        <v>53.079171824161016</v>
      </c>
      <c r="H36" s="162">
        <f t="shared" ca="1" si="1"/>
        <v>45.388380883123595</v>
      </c>
      <c r="I36" s="162">
        <f t="shared" ca="1" si="2"/>
        <v>98.467552707284611</v>
      </c>
      <c r="J36" s="163">
        <f t="shared" ca="1" si="3"/>
        <v>6755.1779606443761</v>
      </c>
    </row>
    <row r="37" spans="6:10">
      <c r="F37" s="44">
        <v>29</v>
      </c>
      <c r="G37" s="162">
        <f t="shared" ca="1" si="0"/>
        <v>53.433032969655414</v>
      </c>
      <c r="H37" s="162">
        <f t="shared" ca="1" si="1"/>
        <v>45.034519737629175</v>
      </c>
      <c r="I37" s="162">
        <f t="shared" ca="1" si="2"/>
        <v>98.467552707284597</v>
      </c>
      <c r="J37" s="163">
        <f t="shared" ca="1" si="3"/>
        <v>6701.7449276747211</v>
      </c>
    </row>
    <row r="38" spans="6:10">
      <c r="F38" s="44">
        <v>30</v>
      </c>
      <c r="G38" s="162">
        <f t="shared" ca="1" si="0"/>
        <v>53.78925318945312</v>
      </c>
      <c r="H38" s="162">
        <f t="shared" ca="1" si="1"/>
        <v>44.678299517831483</v>
      </c>
      <c r="I38" s="162">
        <f t="shared" ca="1" si="2"/>
        <v>98.467552707284597</v>
      </c>
      <c r="J38" s="163">
        <f t="shared" ca="1" si="3"/>
        <v>6647.955674485268</v>
      </c>
    </row>
    <row r="39" spans="6:10">
      <c r="F39" s="44">
        <v>31</v>
      </c>
      <c r="G39" s="162">
        <f t="shared" ca="1" si="0"/>
        <v>54.147848210716141</v>
      </c>
      <c r="H39" s="162">
        <f t="shared" ca="1" si="1"/>
        <v>44.319704496568463</v>
      </c>
      <c r="I39" s="162">
        <f t="shared" ca="1" si="2"/>
        <v>98.467552707284597</v>
      </c>
      <c r="J39" s="163">
        <f t="shared" ca="1" si="3"/>
        <v>6593.8078262745521</v>
      </c>
    </row>
    <row r="40" spans="6:10">
      <c r="F40" s="44">
        <v>32</v>
      </c>
      <c r="G40" s="162">
        <f t="shared" ca="1" si="0"/>
        <v>54.50883386545425</v>
      </c>
      <c r="H40" s="162">
        <f t="shared" ca="1" si="1"/>
        <v>43.958718841830354</v>
      </c>
      <c r="I40" s="162">
        <f t="shared" ca="1" si="2"/>
        <v>98.467552707284597</v>
      </c>
      <c r="J40" s="163">
        <f t="shared" ca="1" si="3"/>
        <v>6539.298992409098</v>
      </c>
    </row>
    <row r="41" spans="6:10">
      <c r="F41" s="44">
        <v>33</v>
      </c>
      <c r="G41" s="162">
        <f t="shared" ref="G41:G68" ca="1" si="4">+PPMT($C$6/12,F41,$C$7*12,-$C$5)</f>
        <v>54.872226091223943</v>
      </c>
      <c r="H41" s="162">
        <f t="shared" ref="H41:H68" ca="1" si="5">+IPMT($C$6/12,F41,$C$7*12,-$C$5)</f>
        <v>43.595326616060653</v>
      </c>
      <c r="I41" s="162">
        <f t="shared" ca="1" si="2"/>
        <v>98.467552707284597</v>
      </c>
      <c r="J41" s="163">
        <f t="shared" ca="1" si="3"/>
        <v>6484.4267663178744</v>
      </c>
    </row>
    <row r="42" spans="6:10">
      <c r="F42" s="44">
        <v>34</v>
      </c>
      <c r="G42" s="162">
        <f t="shared" ca="1" si="4"/>
        <v>55.238040931832103</v>
      </c>
      <c r="H42" s="162">
        <f t="shared" ca="1" si="5"/>
        <v>43.229511775452487</v>
      </c>
      <c r="I42" s="162">
        <f t="shared" ca="1" si="2"/>
        <v>98.467552707284597</v>
      </c>
      <c r="J42" s="163">
        <f t="shared" ref="J42:J68" ca="1" si="6">+J41-G42</f>
        <v>6429.1887253860423</v>
      </c>
    </row>
    <row r="43" spans="6:10">
      <c r="F43" s="44">
        <v>35</v>
      </c>
      <c r="G43" s="162">
        <f t="shared" ca="1" si="4"/>
        <v>55.606294538044317</v>
      </c>
      <c r="H43" s="162">
        <f t="shared" ca="1" si="5"/>
        <v>42.861258169240287</v>
      </c>
      <c r="I43" s="162">
        <f t="shared" ca="1" si="2"/>
        <v>98.467552707284597</v>
      </c>
      <c r="J43" s="163">
        <f t="shared" ca="1" si="6"/>
        <v>6373.5824308479978</v>
      </c>
    </row>
    <row r="44" spans="6:10">
      <c r="F44" s="44">
        <v>36</v>
      </c>
      <c r="G44" s="162">
        <f t="shared" ca="1" si="4"/>
        <v>55.977003168297941</v>
      </c>
      <c r="H44" s="162">
        <f t="shared" ca="1" si="5"/>
        <v>42.490549538986656</v>
      </c>
      <c r="I44" s="162">
        <f t="shared" ca="1" si="2"/>
        <v>98.467552707284597</v>
      </c>
      <c r="J44" s="163">
        <f t="shared" ca="1" si="6"/>
        <v>6317.6054276796995</v>
      </c>
    </row>
    <row r="45" spans="6:10">
      <c r="F45" s="44">
        <v>37</v>
      </c>
      <c r="G45" s="162">
        <f t="shared" ca="1" si="4"/>
        <v>56.35018318941993</v>
      </c>
      <c r="H45" s="162">
        <f t="shared" ca="1" si="5"/>
        <v>42.117369517864667</v>
      </c>
      <c r="I45" s="162">
        <f t="shared" ca="1" si="2"/>
        <v>98.467552707284597</v>
      </c>
      <c r="J45" s="163">
        <f t="shared" ca="1" si="6"/>
        <v>6261.2552444902794</v>
      </c>
    </row>
    <row r="46" spans="6:10">
      <c r="F46" s="44">
        <v>38</v>
      </c>
      <c r="G46" s="162">
        <f t="shared" ca="1" si="4"/>
        <v>56.725851077349404</v>
      </c>
      <c r="H46" s="162">
        <f t="shared" ca="1" si="5"/>
        <v>41.741701629935207</v>
      </c>
      <c r="I46" s="162">
        <f t="shared" ca="1" si="2"/>
        <v>98.467552707284611</v>
      </c>
      <c r="J46" s="163">
        <f t="shared" ca="1" si="6"/>
        <v>6204.5293934129304</v>
      </c>
    </row>
    <row r="47" spans="6:10">
      <c r="F47" s="44">
        <v>39</v>
      </c>
      <c r="G47" s="162">
        <f t="shared" ca="1" si="4"/>
        <v>57.104023417865058</v>
      </c>
      <c r="H47" s="162">
        <f t="shared" ca="1" si="5"/>
        <v>41.363529289419546</v>
      </c>
      <c r="I47" s="162">
        <f t="shared" ca="1" si="2"/>
        <v>98.467552707284597</v>
      </c>
      <c r="J47" s="163">
        <f t="shared" ca="1" si="6"/>
        <v>6147.425369995065</v>
      </c>
    </row>
    <row r="48" spans="6:10">
      <c r="F48" s="44">
        <v>40</v>
      </c>
      <c r="G48" s="162">
        <f t="shared" ca="1" si="4"/>
        <v>57.484716907317491</v>
      </c>
      <c r="H48" s="162">
        <f t="shared" ca="1" si="5"/>
        <v>40.982835799967106</v>
      </c>
      <c r="I48" s="162">
        <f t="shared" ca="1" si="2"/>
        <v>98.467552707284597</v>
      </c>
      <c r="J48" s="163">
        <f t="shared" ca="1" si="6"/>
        <v>6089.9406530877477</v>
      </c>
    </row>
    <row r="49" spans="6:10">
      <c r="F49" s="44">
        <v>41</v>
      </c>
      <c r="G49" s="162">
        <f t="shared" ca="1" si="4"/>
        <v>57.86794835336628</v>
      </c>
      <c r="H49" s="162">
        <f t="shared" ca="1" si="5"/>
        <v>40.599604353918316</v>
      </c>
      <c r="I49" s="162">
        <f t="shared" ca="1" si="2"/>
        <v>98.467552707284597</v>
      </c>
      <c r="J49" s="163">
        <f t="shared" ca="1" si="6"/>
        <v>6032.0727047343817</v>
      </c>
    </row>
    <row r="50" spans="6:10">
      <c r="F50" s="44">
        <v>42</v>
      </c>
      <c r="G50" s="162">
        <f t="shared" ca="1" si="4"/>
        <v>58.25373467572205</v>
      </c>
      <c r="H50" s="162">
        <f t="shared" ca="1" si="5"/>
        <v>40.213818031562546</v>
      </c>
      <c r="I50" s="162">
        <f t="shared" ca="1" si="2"/>
        <v>98.467552707284597</v>
      </c>
      <c r="J50" s="163">
        <f t="shared" ca="1" si="6"/>
        <v>5973.8189700586599</v>
      </c>
    </row>
    <row r="51" spans="6:10">
      <c r="F51" s="44">
        <v>43</v>
      </c>
      <c r="G51" s="162">
        <f t="shared" ca="1" si="4"/>
        <v>58.642092906893538</v>
      </c>
      <c r="H51" s="162">
        <f t="shared" ca="1" si="5"/>
        <v>39.825459800391066</v>
      </c>
      <c r="I51" s="162">
        <f t="shared" ca="1" si="2"/>
        <v>98.467552707284597</v>
      </c>
      <c r="J51" s="163">
        <f t="shared" ca="1" si="6"/>
        <v>5915.1768771517663</v>
      </c>
    </row>
    <row r="52" spans="6:10">
      <c r="F52" s="44">
        <v>44</v>
      </c>
      <c r="G52" s="162">
        <f t="shared" ca="1" si="4"/>
        <v>59.033040192939481</v>
      </c>
      <c r="H52" s="162">
        <f t="shared" ca="1" si="5"/>
        <v>39.434512514345109</v>
      </c>
      <c r="I52" s="162">
        <f t="shared" ca="1" si="2"/>
        <v>98.467552707284597</v>
      </c>
      <c r="J52" s="163">
        <f t="shared" ca="1" si="6"/>
        <v>5856.1438369588268</v>
      </c>
    </row>
    <row r="53" spans="6:10">
      <c r="F53" s="44">
        <v>45</v>
      </c>
      <c r="G53" s="162">
        <f t="shared" ca="1" si="4"/>
        <v>59.426593794225752</v>
      </c>
      <c r="H53" s="162">
        <f t="shared" ca="1" si="5"/>
        <v>39.040958913058844</v>
      </c>
      <c r="I53" s="162">
        <f t="shared" ca="1" si="2"/>
        <v>98.467552707284597</v>
      </c>
      <c r="J53" s="163">
        <f t="shared" ca="1" si="6"/>
        <v>5796.7172431646013</v>
      </c>
    </row>
    <row r="54" spans="6:10">
      <c r="F54" s="44">
        <v>46</v>
      </c>
      <c r="G54" s="162">
        <f t="shared" ca="1" si="4"/>
        <v>59.822771086187259</v>
      </c>
      <c r="H54" s="162">
        <f t="shared" ca="1" si="5"/>
        <v>38.644781621097337</v>
      </c>
      <c r="I54" s="162">
        <f t="shared" ca="1" si="2"/>
        <v>98.467552707284597</v>
      </c>
      <c r="J54" s="163">
        <f t="shared" ca="1" si="6"/>
        <v>5736.8944720784139</v>
      </c>
    </row>
    <row r="55" spans="6:10">
      <c r="F55" s="44">
        <v>47</v>
      </c>
      <c r="G55" s="162">
        <f t="shared" ca="1" si="4"/>
        <v>60.221589560095175</v>
      </c>
      <c r="H55" s="162">
        <f t="shared" ca="1" si="5"/>
        <v>38.245963147189421</v>
      </c>
      <c r="I55" s="162">
        <f t="shared" ca="1" si="2"/>
        <v>98.467552707284597</v>
      </c>
      <c r="J55" s="163">
        <f t="shared" ca="1" si="6"/>
        <v>5676.6728825183191</v>
      </c>
    </row>
    <row r="56" spans="6:10">
      <c r="F56" s="44">
        <v>48</v>
      </c>
      <c r="G56" s="162">
        <f t="shared" ca="1" si="4"/>
        <v>60.623066823829141</v>
      </c>
      <c r="H56" s="162">
        <f t="shared" ca="1" si="5"/>
        <v>37.844485883455462</v>
      </c>
      <c r="I56" s="162">
        <f t="shared" ca="1" si="2"/>
        <v>98.467552707284597</v>
      </c>
      <c r="J56" s="163">
        <f t="shared" ca="1" si="6"/>
        <v>5616.0498156944896</v>
      </c>
    </row>
    <row r="57" spans="6:10">
      <c r="F57" s="44">
        <v>49</v>
      </c>
      <c r="G57" s="162">
        <f t="shared" ca="1" si="4"/>
        <v>61.027220602654673</v>
      </c>
      <c r="H57" s="162">
        <f t="shared" ca="1" si="5"/>
        <v>37.440332104629924</v>
      </c>
      <c r="I57" s="162">
        <f t="shared" ca="1" si="2"/>
        <v>98.467552707284597</v>
      </c>
      <c r="J57" s="163">
        <f t="shared" ca="1" si="6"/>
        <v>5555.0225950918348</v>
      </c>
    </row>
    <row r="58" spans="6:10">
      <c r="F58" s="44">
        <v>50</v>
      </c>
      <c r="G58" s="162">
        <f t="shared" ca="1" si="4"/>
        <v>61.434068740005692</v>
      </c>
      <c r="H58" s="162">
        <f t="shared" ca="1" si="5"/>
        <v>37.033483967278897</v>
      </c>
      <c r="I58" s="162">
        <f t="shared" ca="1" si="2"/>
        <v>98.467552707284597</v>
      </c>
      <c r="J58" s="163">
        <f t="shared" ca="1" si="6"/>
        <v>5493.5885263518294</v>
      </c>
    </row>
    <row r="59" spans="6:10">
      <c r="F59" s="44">
        <v>51</v>
      </c>
      <c r="G59" s="162">
        <f t="shared" ca="1" si="4"/>
        <v>61.84362919827241</v>
      </c>
      <c r="H59" s="162">
        <f t="shared" ca="1" si="5"/>
        <v>36.623923509012201</v>
      </c>
      <c r="I59" s="162">
        <f t="shared" ca="1" si="2"/>
        <v>98.467552707284611</v>
      </c>
      <c r="J59" s="163">
        <f t="shared" ca="1" si="6"/>
        <v>5431.7448971535568</v>
      </c>
    </row>
    <row r="60" spans="6:10">
      <c r="F60" s="44">
        <v>52</v>
      </c>
      <c r="G60" s="162">
        <f t="shared" ca="1" si="4"/>
        <v>62.255920059594224</v>
      </c>
      <c r="H60" s="162">
        <f t="shared" ca="1" si="5"/>
        <v>36.211632647690379</v>
      </c>
      <c r="I60" s="162">
        <f t="shared" ca="1" si="2"/>
        <v>98.467552707284597</v>
      </c>
      <c r="J60" s="163">
        <f t="shared" ca="1" si="6"/>
        <v>5369.4889770939626</v>
      </c>
    </row>
    <row r="61" spans="6:10">
      <c r="F61" s="44">
        <v>53</v>
      </c>
      <c r="G61" s="162">
        <f t="shared" ca="1" si="4"/>
        <v>62.67095952665818</v>
      </c>
      <c r="H61" s="162">
        <f t="shared" ca="1" si="5"/>
        <v>35.796593180626417</v>
      </c>
      <c r="I61" s="162">
        <f t="shared" ca="1" si="2"/>
        <v>98.467552707284597</v>
      </c>
      <c r="J61" s="163">
        <f t="shared" ca="1" si="6"/>
        <v>5306.8180175673042</v>
      </c>
    </row>
    <row r="62" spans="6:10">
      <c r="F62" s="44">
        <v>54</v>
      </c>
      <c r="G62" s="162">
        <f t="shared" ca="1" si="4"/>
        <v>63.088765923502571</v>
      </c>
      <c r="H62" s="162">
        <f t="shared" ca="1" si="5"/>
        <v>35.378786783782033</v>
      </c>
      <c r="I62" s="162">
        <f t="shared" ca="1" si="2"/>
        <v>98.467552707284597</v>
      </c>
      <c r="J62" s="163">
        <f t="shared" ca="1" si="6"/>
        <v>5243.7292516438019</v>
      </c>
    </row>
    <row r="63" spans="6:10">
      <c r="F63" s="44">
        <v>55</v>
      </c>
      <c r="G63" s="162">
        <f t="shared" ca="1" si="4"/>
        <v>63.509357696325928</v>
      </c>
      <c r="H63" s="162">
        <f t="shared" ca="1" si="5"/>
        <v>34.958195010958683</v>
      </c>
      <c r="I63" s="162">
        <f t="shared" ca="1" si="2"/>
        <v>98.467552707284611</v>
      </c>
      <c r="J63" s="163">
        <f t="shared" ca="1" si="6"/>
        <v>5180.2198939474756</v>
      </c>
    </row>
    <row r="64" spans="6:10">
      <c r="F64" s="44">
        <v>56</v>
      </c>
      <c r="G64" s="162">
        <f t="shared" ca="1" si="4"/>
        <v>63.932753414301423</v>
      </c>
      <c r="H64" s="162">
        <f t="shared" ca="1" si="5"/>
        <v>34.534799292983173</v>
      </c>
      <c r="I64" s="162">
        <f t="shared" ca="1" si="2"/>
        <v>98.467552707284597</v>
      </c>
      <c r="J64" s="163">
        <f t="shared" ca="1" si="6"/>
        <v>5116.2871405331744</v>
      </c>
    </row>
    <row r="65" spans="6:10">
      <c r="F65" s="44">
        <v>57</v>
      </c>
      <c r="G65" s="162">
        <f t="shared" ca="1" si="4"/>
        <v>64.358971770396778</v>
      </c>
      <c r="H65" s="162">
        <f t="shared" ca="1" si="5"/>
        <v>34.108580936887833</v>
      </c>
      <c r="I65" s="162">
        <f t="shared" ca="1" si="2"/>
        <v>98.467552707284611</v>
      </c>
      <c r="J65" s="163">
        <f t="shared" ca="1" si="6"/>
        <v>5051.9281687627772</v>
      </c>
    </row>
    <row r="66" spans="6:10">
      <c r="F66" s="44">
        <v>58</v>
      </c>
      <c r="G66" s="162">
        <f t="shared" ca="1" si="4"/>
        <v>64.788031582199423</v>
      </c>
      <c r="H66" s="162">
        <f t="shared" ca="1" si="5"/>
        <v>33.679521125085181</v>
      </c>
      <c r="I66" s="162">
        <f t="shared" ca="1" si="2"/>
        <v>98.467552707284597</v>
      </c>
      <c r="J66" s="163">
        <f t="shared" ca="1" si="6"/>
        <v>4987.1401371805778</v>
      </c>
    </row>
    <row r="67" spans="6:10">
      <c r="F67" s="44">
        <v>59</v>
      </c>
      <c r="G67" s="162">
        <f t="shared" ca="1" si="4"/>
        <v>65.219951792747409</v>
      </c>
      <c r="H67" s="162">
        <f t="shared" ca="1" si="5"/>
        <v>33.247600914537195</v>
      </c>
      <c r="I67" s="162">
        <f t="shared" ca="1" si="2"/>
        <v>98.467552707284597</v>
      </c>
      <c r="J67" s="163">
        <f t="shared" ca="1" si="6"/>
        <v>4921.9201853878303</v>
      </c>
    </row>
    <row r="68" spans="6:10">
      <c r="F68" s="44">
        <v>60</v>
      </c>
      <c r="G68" s="162">
        <f t="shared" ca="1" si="4"/>
        <v>65.654751471365728</v>
      </c>
      <c r="H68" s="162">
        <f t="shared" ca="1" si="5"/>
        <v>32.812801235918876</v>
      </c>
      <c r="I68" s="162">
        <f t="shared" ca="1" si="2"/>
        <v>98.467552707284597</v>
      </c>
      <c r="J68" s="163">
        <f t="shared" ca="1" si="6"/>
        <v>4856.2654339164646</v>
      </c>
    </row>
    <row r="69" spans="6:10">
      <c r="F69" s="44">
        <v>61</v>
      </c>
      <c r="G69" s="162">
        <f t="shared" ref="G69:G128" ca="1" si="7">+PPMT($C$6/12,F69,$C$7*12,-$C$5)</f>
        <v>66.092449814508171</v>
      </c>
      <c r="H69" s="162">
        <f t="shared" ref="H69:H128" ca="1" si="8">+IPMT($C$6/12,F69,$C$7*12,-$C$5)</f>
        <v>32.375102892776439</v>
      </c>
      <c r="I69" s="162">
        <f t="shared" ref="I69:I128" ca="1" si="9">+SUM(G69:H69)</f>
        <v>98.467552707284611</v>
      </c>
      <c r="J69" s="163">
        <f t="shared" ref="J69:J128" ca="1" si="10">+J68-G69</f>
        <v>4790.1729841019569</v>
      </c>
    </row>
    <row r="70" spans="6:10">
      <c r="F70" s="44">
        <v>62</v>
      </c>
      <c r="G70" s="162">
        <f t="shared" ca="1" si="7"/>
        <v>66.533066146604881</v>
      </c>
      <c r="H70" s="162">
        <f t="shared" ca="1" si="8"/>
        <v>31.934486560679716</v>
      </c>
      <c r="I70" s="162">
        <f t="shared" ca="1" si="9"/>
        <v>98.467552707284597</v>
      </c>
      <c r="J70" s="163">
        <f t="shared" ca="1" si="10"/>
        <v>4723.6399179553518</v>
      </c>
    </row>
    <row r="71" spans="6:10">
      <c r="F71" s="44">
        <v>63</v>
      </c>
      <c r="G71" s="162">
        <f t="shared" ca="1" si="7"/>
        <v>66.976619920915581</v>
      </c>
      <c r="H71" s="162">
        <f t="shared" ca="1" si="8"/>
        <v>31.490932786369015</v>
      </c>
      <c r="I71" s="162">
        <f t="shared" ca="1" si="9"/>
        <v>98.467552707284597</v>
      </c>
      <c r="J71" s="163">
        <f t="shared" ca="1" si="10"/>
        <v>4656.6632980344366</v>
      </c>
    </row>
    <row r="72" spans="6:10">
      <c r="F72" s="44">
        <v>64</v>
      </c>
      <c r="G72" s="162">
        <f t="shared" ca="1" si="7"/>
        <v>67.423130720388357</v>
      </c>
      <c r="H72" s="162">
        <f t="shared" ca="1" si="8"/>
        <v>31.044421986896239</v>
      </c>
      <c r="I72" s="162">
        <f t="shared" ca="1" si="9"/>
        <v>98.467552707284597</v>
      </c>
      <c r="J72" s="163">
        <f t="shared" ca="1" si="10"/>
        <v>4589.2401673140484</v>
      </c>
    </row>
    <row r="73" spans="6:10">
      <c r="F73" s="44">
        <v>65</v>
      </c>
      <c r="G73" s="162">
        <f t="shared" ca="1" si="7"/>
        <v>67.87261825852427</v>
      </c>
      <c r="H73" s="162">
        <f t="shared" ca="1" si="8"/>
        <v>30.59493444876032</v>
      </c>
      <c r="I73" s="162">
        <f t="shared" ca="1" si="9"/>
        <v>98.467552707284597</v>
      </c>
      <c r="J73" s="163">
        <f t="shared" ca="1" si="10"/>
        <v>4521.3675490555243</v>
      </c>
    </row>
    <row r="74" spans="6:10">
      <c r="F74" s="44">
        <v>66</v>
      </c>
      <c r="G74" s="162">
        <f t="shared" ca="1" si="7"/>
        <v>68.32510238024777</v>
      </c>
      <c r="H74" s="162">
        <f t="shared" ca="1" si="8"/>
        <v>30.142450327036823</v>
      </c>
      <c r="I74" s="162">
        <f t="shared" ca="1" si="9"/>
        <v>98.467552707284597</v>
      </c>
      <c r="J74" s="163">
        <f t="shared" ca="1" si="10"/>
        <v>4453.0424466752766</v>
      </c>
    </row>
    <row r="75" spans="6:10">
      <c r="F75" s="44">
        <v>67</v>
      </c>
      <c r="G75" s="162">
        <f t="shared" ca="1" si="7"/>
        <v>68.78060306278276</v>
      </c>
      <c r="H75" s="162">
        <f t="shared" ca="1" si="8"/>
        <v>29.686949644501841</v>
      </c>
      <c r="I75" s="162">
        <f t="shared" ca="1" si="9"/>
        <v>98.467552707284597</v>
      </c>
      <c r="J75" s="163">
        <f t="shared" ca="1" si="10"/>
        <v>4384.261843612494</v>
      </c>
    </row>
    <row r="76" spans="6:10">
      <c r="F76" s="44">
        <v>68</v>
      </c>
      <c r="G76" s="162">
        <f t="shared" ca="1" si="7"/>
        <v>69.239140416534653</v>
      </c>
      <c r="H76" s="162">
        <f t="shared" ca="1" si="8"/>
        <v>29.228412290749954</v>
      </c>
      <c r="I76" s="162">
        <f t="shared" ca="1" si="9"/>
        <v>98.467552707284611</v>
      </c>
      <c r="J76" s="163">
        <f t="shared" ca="1" si="10"/>
        <v>4315.0227031959594</v>
      </c>
    </row>
    <row r="77" spans="6:10">
      <c r="F77" s="44">
        <v>69</v>
      </c>
      <c r="G77" s="162">
        <f t="shared" ca="1" si="7"/>
        <v>69.700734685978205</v>
      </c>
      <c r="H77" s="162">
        <f t="shared" ca="1" si="8"/>
        <v>28.766818021306385</v>
      </c>
      <c r="I77" s="162">
        <f t="shared" ca="1" si="9"/>
        <v>98.467552707284597</v>
      </c>
      <c r="J77" s="163">
        <f t="shared" ca="1" si="10"/>
        <v>4245.3219685099812</v>
      </c>
    </row>
    <row r="78" spans="6:10">
      <c r="F78" s="44">
        <v>70</v>
      </c>
      <c r="G78" s="162">
        <f t="shared" ca="1" si="7"/>
        <v>70.165406250551399</v>
      </c>
      <c r="H78" s="162">
        <f t="shared" ca="1" si="8"/>
        <v>28.302146456733205</v>
      </c>
      <c r="I78" s="162">
        <f t="shared" ca="1" si="9"/>
        <v>98.467552707284597</v>
      </c>
      <c r="J78" s="163">
        <f t="shared" ca="1" si="10"/>
        <v>4175.1565622594298</v>
      </c>
    </row>
    <row r="79" spans="6:10">
      <c r="F79" s="44">
        <v>71</v>
      </c>
      <c r="G79" s="162">
        <f t="shared" ca="1" si="7"/>
        <v>70.633175625555069</v>
      </c>
      <c r="H79" s="162">
        <f t="shared" ca="1" si="8"/>
        <v>27.834377081729528</v>
      </c>
      <c r="I79" s="162">
        <f t="shared" ca="1" si="9"/>
        <v>98.467552707284597</v>
      </c>
      <c r="J79" s="163">
        <f t="shared" ca="1" si="10"/>
        <v>4104.5233866338749</v>
      </c>
    </row>
    <row r="80" spans="6:10">
      <c r="F80" s="44">
        <v>72</v>
      </c>
      <c r="G80" s="162">
        <f t="shared" ca="1" si="7"/>
        <v>71.104063463058779</v>
      </c>
      <c r="H80" s="162">
        <f t="shared" ca="1" si="8"/>
        <v>27.363489244225828</v>
      </c>
      <c r="I80" s="162">
        <f t="shared" ca="1" si="9"/>
        <v>98.467552707284611</v>
      </c>
      <c r="J80" s="163">
        <f t="shared" ca="1" si="10"/>
        <v>4033.4193231708159</v>
      </c>
    </row>
    <row r="81" spans="6:10">
      <c r="F81" s="44">
        <v>73</v>
      </c>
      <c r="G81" s="162">
        <f t="shared" ca="1" si="7"/>
        <v>71.578090552812498</v>
      </c>
      <c r="H81" s="162">
        <f t="shared" ca="1" si="8"/>
        <v>26.889462154472099</v>
      </c>
      <c r="I81" s="162">
        <f t="shared" ca="1" si="9"/>
        <v>98.467552707284597</v>
      </c>
      <c r="J81" s="163">
        <f t="shared" ca="1" si="10"/>
        <v>3961.8412326180032</v>
      </c>
    </row>
    <row r="82" spans="6:10">
      <c r="F82" s="44">
        <v>74</v>
      </c>
      <c r="G82" s="162">
        <f t="shared" ca="1" si="7"/>
        <v>72.055277823164587</v>
      </c>
      <c r="H82" s="162">
        <f t="shared" ca="1" si="8"/>
        <v>26.412274884120016</v>
      </c>
      <c r="I82" s="162">
        <f t="shared" ca="1" si="9"/>
        <v>98.467552707284597</v>
      </c>
      <c r="J82" s="163">
        <f t="shared" ca="1" si="10"/>
        <v>3889.7859547948387</v>
      </c>
    </row>
    <row r="83" spans="6:10">
      <c r="F83" s="44">
        <v>75</v>
      </c>
      <c r="G83" s="162">
        <f t="shared" ca="1" si="7"/>
        <v>72.535646341985668</v>
      </c>
      <c r="H83" s="162">
        <f t="shared" ca="1" si="8"/>
        <v>25.931906365298925</v>
      </c>
      <c r="I83" s="162">
        <f t="shared" ca="1" si="9"/>
        <v>98.467552707284597</v>
      </c>
      <c r="J83" s="163">
        <f t="shared" ca="1" si="10"/>
        <v>3817.250308452853</v>
      </c>
    </row>
    <row r="84" spans="6:10">
      <c r="F84" s="44">
        <v>76</v>
      </c>
      <c r="G84" s="162">
        <f t="shared" ca="1" si="7"/>
        <v>73.019217317598915</v>
      </c>
      <c r="H84" s="162">
        <f t="shared" ca="1" si="8"/>
        <v>25.448335389685681</v>
      </c>
      <c r="I84" s="162">
        <f t="shared" ca="1" si="9"/>
        <v>98.467552707284597</v>
      </c>
      <c r="J84" s="163">
        <f t="shared" ca="1" si="10"/>
        <v>3744.2310911352542</v>
      </c>
    </row>
    <row r="85" spans="6:10">
      <c r="F85" s="44">
        <v>77</v>
      </c>
      <c r="G85" s="162">
        <f t="shared" ca="1" si="7"/>
        <v>73.506012099716244</v>
      </c>
      <c r="H85" s="162">
        <f t="shared" ca="1" si="8"/>
        <v>24.961540607568356</v>
      </c>
      <c r="I85" s="162">
        <f t="shared" ca="1" si="9"/>
        <v>98.467552707284597</v>
      </c>
      <c r="J85" s="163">
        <f t="shared" ca="1" si="10"/>
        <v>3670.7250790355379</v>
      </c>
    </row>
    <row r="86" spans="6:10">
      <c r="F86" s="44">
        <v>78</v>
      </c>
      <c r="G86" s="162">
        <f t="shared" ca="1" si="7"/>
        <v>73.996052180381014</v>
      </c>
      <c r="H86" s="162">
        <f t="shared" ca="1" si="8"/>
        <v>24.471500526903583</v>
      </c>
      <c r="I86" s="162">
        <f t="shared" ca="1" si="9"/>
        <v>98.467552707284597</v>
      </c>
      <c r="J86" s="163">
        <f t="shared" ca="1" si="10"/>
        <v>3596.7290268551569</v>
      </c>
    </row>
    <row r="87" spans="6:10">
      <c r="F87" s="44">
        <v>79</v>
      </c>
      <c r="G87" s="162">
        <f t="shared" ca="1" si="7"/>
        <v>74.489359194916901</v>
      </c>
      <c r="H87" s="162">
        <f t="shared" ca="1" si="8"/>
        <v>23.97819351236771</v>
      </c>
      <c r="I87" s="162">
        <f t="shared" ca="1" si="9"/>
        <v>98.467552707284611</v>
      </c>
      <c r="J87" s="163">
        <f t="shared" ca="1" si="10"/>
        <v>3522.2396676602402</v>
      </c>
    </row>
    <row r="88" spans="6:10">
      <c r="F88" s="44">
        <v>80</v>
      </c>
      <c r="G88" s="162">
        <f t="shared" ca="1" si="7"/>
        <v>74.985954922882996</v>
      </c>
      <c r="H88" s="162">
        <f t="shared" ca="1" si="8"/>
        <v>23.4815977844016</v>
      </c>
      <c r="I88" s="162">
        <f t="shared" ca="1" si="9"/>
        <v>98.467552707284597</v>
      </c>
      <c r="J88" s="163">
        <f t="shared" ca="1" si="10"/>
        <v>3447.2537127373571</v>
      </c>
    </row>
    <row r="89" spans="6:10">
      <c r="F89" s="44">
        <v>81</v>
      </c>
      <c r="G89" s="162">
        <f t="shared" ca="1" si="7"/>
        <v>75.485861289035554</v>
      </c>
      <c r="H89" s="162">
        <f t="shared" ca="1" si="8"/>
        <v>22.981691418249042</v>
      </c>
      <c r="I89" s="162">
        <f t="shared" ca="1" si="9"/>
        <v>98.467552707284597</v>
      </c>
      <c r="J89" s="163">
        <f t="shared" ca="1" si="10"/>
        <v>3371.7678514483214</v>
      </c>
    </row>
    <row r="90" spans="6:10">
      <c r="F90" s="44">
        <v>82</v>
      </c>
      <c r="G90" s="162">
        <f t="shared" ca="1" si="7"/>
        <v>75.989100364295808</v>
      </c>
      <c r="H90" s="162">
        <f t="shared" ca="1" si="8"/>
        <v>22.478452342988803</v>
      </c>
      <c r="I90" s="162">
        <f t="shared" ca="1" si="9"/>
        <v>98.467552707284611</v>
      </c>
      <c r="J90" s="163">
        <f t="shared" ca="1" si="10"/>
        <v>3295.7787510840258</v>
      </c>
    </row>
    <row r="91" spans="6:10">
      <c r="F91" s="44">
        <v>83</v>
      </c>
      <c r="G91" s="162">
        <f t="shared" ca="1" si="7"/>
        <v>76.495694366724436</v>
      </c>
      <c r="H91" s="162">
        <f t="shared" ca="1" si="8"/>
        <v>21.971858340560168</v>
      </c>
      <c r="I91" s="162">
        <f t="shared" ca="1" si="9"/>
        <v>98.467552707284597</v>
      </c>
      <c r="J91" s="163">
        <f t="shared" ca="1" si="10"/>
        <v>3219.2830567173014</v>
      </c>
    </row>
    <row r="92" spans="6:10">
      <c r="F92" s="44">
        <v>84</v>
      </c>
      <c r="G92" s="162">
        <f t="shared" ca="1" si="7"/>
        <v>77.005665662502594</v>
      </c>
      <c r="H92" s="162">
        <f t="shared" ca="1" si="8"/>
        <v>21.461887044782003</v>
      </c>
      <c r="I92" s="162">
        <f t="shared" ca="1" si="9"/>
        <v>98.467552707284597</v>
      </c>
      <c r="J92" s="163">
        <f t="shared" ca="1" si="10"/>
        <v>3142.277391054799</v>
      </c>
    </row>
    <row r="93" spans="6:10">
      <c r="F93" s="44">
        <v>85</v>
      </c>
      <c r="G93" s="162">
        <f t="shared" ca="1" si="7"/>
        <v>77.519036766919285</v>
      </c>
      <c r="H93" s="162">
        <f t="shared" ca="1" si="8"/>
        <v>20.948515940365318</v>
      </c>
      <c r="I93" s="162">
        <f t="shared" ca="1" si="9"/>
        <v>98.467552707284597</v>
      </c>
      <c r="J93" s="163">
        <f t="shared" ca="1" si="10"/>
        <v>3064.7583542878797</v>
      </c>
    </row>
    <row r="94" spans="6:10">
      <c r="F94" s="44">
        <v>86</v>
      </c>
      <c r="G94" s="162">
        <f t="shared" ca="1" si="7"/>
        <v>78.035830345365412</v>
      </c>
      <c r="H94" s="162">
        <f t="shared" ca="1" si="8"/>
        <v>20.431722361919192</v>
      </c>
      <c r="I94" s="162">
        <f t="shared" ca="1" si="9"/>
        <v>98.467552707284597</v>
      </c>
      <c r="J94" s="163">
        <f t="shared" ca="1" si="10"/>
        <v>2986.7225239425143</v>
      </c>
    </row>
    <row r="95" spans="6:10">
      <c r="F95" s="44">
        <v>87</v>
      </c>
      <c r="G95" s="162">
        <f t="shared" ca="1" si="7"/>
        <v>78.556069214334528</v>
      </c>
      <c r="H95" s="162">
        <f t="shared" ca="1" si="8"/>
        <v>19.911483492950087</v>
      </c>
      <c r="I95" s="162">
        <f t="shared" ca="1" si="9"/>
        <v>98.467552707284611</v>
      </c>
      <c r="J95" s="163">
        <f t="shared" ca="1" si="10"/>
        <v>2908.1664547281798</v>
      </c>
    </row>
    <row r="96" spans="6:10">
      <c r="F96" s="44">
        <v>88</v>
      </c>
      <c r="G96" s="162">
        <f t="shared" ca="1" si="7"/>
        <v>79.079776342430065</v>
      </c>
      <c r="H96" s="162">
        <f t="shared" ca="1" si="8"/>
        <v>19.387776364854524</v>
      </c>
      <c r="I96" s="162">
        <f t="shared" ca="1" si="9"/>
        <v>98.467552707284597</v>
      </c>
      <c r="J96" s="163">
        <f t="shared" ca="1" si="10"/>
        <v>2829.0866783857496</v>
      </c>
    </row>
    <row r="97" spans="6:10">
      <c r="F97" s="44">
        <v>89</v>
      </c>
      <c r="G97" s="162">
        <f t="shared" ca="1" si="7"/>
        <v>79.606974851379604</v>
      </c>
      <c r="H97" s="162">
        <f t="shared" ca="1" si="8"/>
        <v>18.860577855904989</v>
      </c>
      <c r="I97" s="162">
        <f t="shared" ca="1" si="9"/>
        <v>98.467552707284597</v>
      </c>
      <c r="J97" s="163">
        <f t="shared" ca="1" si="10"/>
        <v>2749.4797035343699</v>
      </c>
    </row>
    <row r="98" spans="6:10">
      <c r="F98" s="44">
        <v>90</v>
      </c>
      <c r="G98" s="162">
        <f t="shared" ca="1" si="7"/>
        <v>80.137688017055467</v>
      </c>
      <c r="H98" s="162">
        <f t="shared" ca="1" si="8"/>
        <v>18.32986469022913</v>
      </c>
      <c r="I98" s="162">
        <f t="shared" ca="1" si="9"/>
        <v>98.467552707284597</v>
      </c>
      <c r="J98" s="163">
        <f t="shared" ca="1" si="10"/>
        <v>2669.3420155173144</v>
      </c>
    </row>
    <row r="99" spans="6:10">
      <c r="F99" s="44">
        <v>91</v>
      </c>
      <c r="G99" s="162">
        <f t="shared" ca="1" si="7"/>
        <v>80.671939270502506</v>
      </c>
      <c r="H99" s="162">
        <f t="shared" ca="1" si="8"/>
        <v>17.795613436782091</v>
      </c>
      <c r="I99" s="162">
        <f t="shared" ca="1" si="9"/>
        <v>98.467552707284597</v>
      </c>
      <c r="J99" s="163">
        <f t="shared" ca="1" si="10"/>
        <v>2588.6700762468117</v>
      </c>
    </row>
    <row r="100" spans="6:10">
      <c r="F100" s="44">
        <v>92</v>
      </c>
      <c r="G100" s="162">
        <f t="shared" ca="1" si="7"/>
        <v>81.209752198972538</v>
      </c>
      <c r="H100" s="162">
        <f t="shared" ca="1" si="8"/>
        <v>17.257800508312073</v>
      </c>
      <c r="I100" s="162">
        <f t="shared" ca="1" si="9"/>
        <v>98.467552707284611</v>
      </c>
      <c r="J100" s="163">
        <f t="shared" ca="1" si="10"/>
        <v>2507.4603240478391</v>
      </c>
    </row>
    <row r="101" spans="6:10">
      <c r="F101" s="44">
        <v>93</v>
      </c>
      <c r="G101" s="162">
        <f t="shared" ca="1" si="7"/>
        <v>81.75115054696569</v>
      </c>
      <c r="H101" s="162">
        <f t="shared" ca="1" si="8"/>
        <v>16.716402160318921</v>
      </c>
      <c r="I101" s="162">
        <f t="shared" ca="1" si="9"/>
        <v>98.467552707284611</v>
      </c>
      <c r="J101" s="163">
        <f t="shared" ca="1" si="10"/>
        <v>2425.7091735008735</v>
      </c>
    </row>
    <row r="102" spans="6:10">
      <c r="F102" s="44">
        <v>94</v>
      </c>
      <c r="G102" s="162">
        <f t="shared" ca="1" si="7"/>
        <v>82.296158217278787</v>
      </c>
      <c r="H102" s="162">
        <f t="shared" ca="1" si="8"/>
        <v>16.171394490005817</v>
      </c>
      <c r="I102" s="162">
        <f t="shared" ca="1" si="9"/>
        <v>98.467552707284597</v>
      </c>
      <c r="J102" s="163">
        <f t="shared" ca="1" si="10"/>
        <v>2343.4130152835946</v>
      </c>
    </row>
    <row r="103" spans="6:10">
      <c r="F103" s="44">
        <v>95</v>
      </c>
      <c r="G103" s="162">
        <f t="shared" ca="1" si="7"/>
        <v>82.844799272060641</v>
      </c>
      <c r="H103" s="162">
        <f t="shared" ca="1" si="8"/>
        <v>15.622753435223959</v>
      </c>
      <c r="I103" s="162">
        <f t="shared" ca="1" si="9"/>
        <v>98.467552707284597</v>
      </c>
      <c r="J103" s="163">
        <f t="shared" ca="1" si="10"/>
        <v>2260.5682160115339</v>
      </c>
    </row>
    <row r="104" spans="6:10">
      <c r="F104" s="44">
        <v>96</v>
      </c>
      <c r="G104" s="162">
        <f t="shared" ca="1" si="7"/>
        <v>83.397097933874377</v>
      </c>
      <c r="H104" s="162">
        <f t="shared" ca="1" si="8"/>
        <v>15.070454773410221</v>
      </c>
      <c r="I104" s="162">
        <f t="shared" ca="1" si="9"/>
        <v>98.467552707284597</v>
      </c>
      <c r="J104" s="163">
        <f t="shared" ca="1" si="10"/>
        <v>2177.1711180776597</v>
      </c>
    </row>
    <row r="105" spans="6:10">
      <c r="F105" s="44">
        <v>97</v>
      </c>
      <c r="G105" s="162">
        <f t="shared" ca="1" si="7"/>
        <v>83.953078586766878</v>
      </c>
      <c r="H105" s="162">
        <f t="shared" ca="1" si="8"/>
        <v>14.514474120517725</v>
      </c>
      <c r="I105" s="162">
        <f t="shared" ca="1" si="9"/>
        <v>98.467552707284597</v>
      </c>
      <c r="J105" s="163">
        <f t="shared" ca="1" si="10"/>
        <v>2093.2180394908928</v>
      </c>
    </row>
    <row r="106" spans="6:10">
      <c r="F106" s="44">
        <v>98</v>
      </c>
      <c r="G106" s="162">
        <f t="shared" ca="1" si="7"/>
        <v>84.512765777345322</v>
      </c>
      <c r="H106" s="162">
        <f t="shared" ca="1" si="8"/>
        <v>13.95478692993928</v>
      </c>
      <c r="I106" s="162">
        <f t="shared" ca="1" si="9"/>
        <v>98.467552707284597</v>
      </c>
      <c r="J106" s="163">
        <f t="shared" ca="1" si="10"/>
        <v>2008.7052737135475</v>
      </c>
    </row>
    <row r="107" spans="6:10">
      <c r="F107" s="44">
        <v>99</v>
      </c>
      <c r="G107" s="162">
        <f t="shared" ca="1" si="7"/>
        <v>85.076184215860948</v>
      </c>
      <c r="H107" s="162">
        <f t="shared" ca="1" si="8"/>
        <v>13.391368491423647</v>
      </c>
      <c r="I107" s="162">
        <f t="shared" ca="1" si="9"/>
        <v>98.467552707284597</v>
      </c>
      <c r="J107" s="163">
        <f t="shared" ca="1" si="10"/>
        <v>1923.6290894976867</v>
      </c>
    </row>
    <row r="108" spans="6:10">
      <c r="F108" s="44">
        <v>100</v>
      </c>
      <c r="G108" s="162">
        <f t="shared" ca="1" si="7"/>
        <v>85.643358777300037</v>
      </c>
      <c r="H108" s="162">
        <f t="shared" ca="1" si="8"/>
        <v>12.82419392998457</v>
      </c>
      <c r="I108" s="162">
        <f t="shared" ca="1" si="9"/>
        <v>98.467552707284611</v>
      </c>
      <c r="J108" s="163">
        <f t="shared" ca="1" si="10"/>
        <v>1837.9857307203865</v>
      </c>
    </row>
    <row r="109" spans="6:10">
      <c r="F109" s="44">
        <v>101</v>
      </c>
      <c r="G109" s="162">
        <f t="shared" ca="1" si="7"/>
        <v>86.214314502482026</v>
      </c>
      <c r="H109" s="162">
        <f t="shared" ca="1" si="8"/>
        <v>12.253238204802571</v>
      </c>
      <c r="I109" s="162">
        <f t="shared" ca="1" si="9"/>
        <v>98.467552707284597</v>
      </c>
      <c r="J109" s="163">
        <f t="shared" ca="1" si="10"/>
        <v>1751.7714162179045</v>
      </c>
    </row>
    <row r="110" spans="6:10">
      <c r="F110" s="44">
        <v>102</v>
      </c>
      <c r="G110" s="162">
        <f t="shared" ca="1" si="7"/>
        <v>86.789076599165242</v>
      </c>
      <c r="H110" s="162">
        <f t="shared" ca="1" si="8"/>
        <v>11.678476108119359</v>
      </c>
      <c r="I110" s="162">
        <f t="shared" ca="1" si="9"/>
        <v>98.467552707284597</v>
      </c>
      <c r="J110" s="163">
        <f t="shared" ca="1" si="10"/>
        <v>1664.9823396187394</v>
      </c>
    </row>
    <row r="111" spans="6:10">
      <c r="F111" s="44">
        <v>103</v>
      </c>
      <c r="G111" s="162">
        <f t="shared" ca="1" si="7"/>
        <v>87.367670443159696</v>
      </c>
      <c r="H111" s="162">
        <f t="shared" ca="1" si="8"/>
        <v>11.099882264124924</v>
      </c>
      <c r="I111" s="162">
        <f t="shared" ca="1" si="9"/>
        <v>98.467552707284625</v>
      </c>
      <c r="J111" s="163">
        <f t="shared" ca="1" si="10"/>
        <v>1577.6146691755796</v>
      </c>
    </row>
    <row r="112" spans="6:10">
      <c r="F112" s="44">
        <v>104</v>
      </c>
      <c r="G112" s="162">
        <f t="shared" ca="1" si="7"/>
        <v>87.950121579447412</v>
      </c>
      <c r="H112" s="162">
        <f t="shared" ca="1" si="8"/>
        <v>10.517431127837192</v>
      </c>
      <c r="I112" s="162">
        <f t="shared" ca="1" si="9"/>
        <v>98.467552707284597</v>
      </c>
      <c r="J112" s="163">
        <f t="shared" ca="1" si="10"/>
        <v>1489.6645475961323</v>
      </c>
    </row>
    <row r="113" spans="6:10">
      <c r="F113" s="44">
        <v>105</v>
      </c>
      <c r="G113" s="162">
        <f t="shared" ca="1" si="7"/>
        <v>88.536455723310397</v>
      </c>
      <c r="H113" s="162">
        <f t="shared" ca="1" si="8"/>
        <v>9.9310969839742089</v>
      </c>
      <c r="I113" s="162">
        <f t="shared" ca="1" si="9"/>
        <v>98.467552707284611</v>
      </c>
      <c r="J113" s="163">
        <f t="shared" ca="1" si="10"/>
        <v>1401.1280918728219</v>
      </c>
    </row>
    <row r="114" spans="6:10">
      <c r="F114" s="44">
        <v>106</v>
      </c>
      <c r="G114" s="162">
        <f t="shared" ca="1" si="7"/>
        <v>89.126698761465789</v>
      </c>
      <c r="H114" s="162">
        <f t="shared" ca="1" si="8"/>
        <v>9.3408539458188056</v>
      </c>
      <c r="I114" s="162">
        <f t="shared" ca="1" si="9"/>
        <v>98.467552707284597</v>
      </c>
      <c r="J114" s="163">
        <f t="shared" ca="1" si="10"/>
        <v>1312.001393111356</v>
      </c>
    </row>
    <row r="115" spans="6:10">
      <c r="F115" s="44">
        <v>107</v>
      </c>
      <c r="G115" s="162">
        <f t="shared" ca="1" si="7"/>
        <v>89.720876753208913</v>
      </c>
      <c r="H115" s="162">
        <f t="shared" ca="1" si="8"/>
        <v>8.7466759540757018</v>
      </c>
      <c r="I115" s="162">
        <f t="shared" ca="1" si="9"/>
        <v>98.467552707284611</v>
      </c>
      <c r="J115" s="163">
        <f t="shared" ca="1" si="10"/>
        <v>1222.2805163581472</v>
      </c>
    </row>
    <row r="116" spans="6:10">
      <c r="F116" s="44">
        <v>108</v>
      </c>
      <c r="G116" s="162">
        <f t="shared" ca="1" si="7"/>
        <v>90.319015931563627</v>
      </c>
      <c r="H116" s="162">
        <f t="shared" ca="1" si="8"/>
        <v>8.1485367757209737</v>
      </c>
      <c r="I116" s="162">
        <f t="shared" ca="1" si="9"/>
        <v>98.467552707284597</v>
      </c>
      <c r="J116" s="163">
        <f t="shared" ca="1" si="10"/>
        <v>1131.9615004265836</v>
      </c>
    </row>
    <row r="117" spans="6:10">
      <c r="F117" s="44">
        <v>109</v>
      </c>
      <c r="G117" s="162">
        <f t="shared" ca="1" si="7"/>
        <v>90.921142704440726</v>
      </c>
      <c r="H117" s="162">
        <f t="shared" ca="1" si="8"/>
        <v>7.5464100028438832</v>
      </c>
      <c r="I117" s="162">
        <f t="shared" ca="1" si="9"/>
        <v>98.467552707284611</v>
      </c>
      <c r="J117" s="163">
        <f t="shared" ca="1" si="10"/>
        <v>1041.040357722143</v>
      </c>
    </row>
    <row r="118" spans="6:10">
      <c r="F118" s="44">
        <v>110</v>
      </c>
      <c r="G118" s="162">
        <f t="shared" ca="1" si="7"/>
        <v>91.527283655803657</v>
      </c>
      <c r="H118" s="162">
        <f t="shared" ca="1" si="8"/>
        <v>6.9402690514809464</v>
      </c>
      <c r="I118" s="162">
        <f t="shared" ca="1" si="9"/>
        <v>98.467552707284597</v>
      </c>
      <c r="J118" s="163">
        <f t="shared" ca="1" si="10"/>
        <v>949.5130740663393</v>
      </c>
    </row>
    <row r="119" spans="6:10">
      <c r="F119" s="44">
        <v>111</v>
      </c>
      <c r="G119" s="162">
        <f t="shared" ca="1" si="7"/>
        <v>92.137465546842336</v>
      </c>
      <c r="H119" s="162">
        <f t="shared" ca="1" si="8"/>
        <v>6.3300871604422539</v>
      </c>
      <c r="I119" s="162">
        <f t="shared" ca="1" si="9"/>
        <v>98.467552707284597</v>
      </c>
      <c r="J119" s="163">
        <f t="shared" ca="1" si="10"/>
        <v>857.37560851949695</v>
      </c>
    </row>
    <row r="120" spans="6:10">
      <c r="F120" s="44">
        <v>112</v>
      </c>
      <c r="G120" s="162">
        <f t="shared" ca="1" si="7"/>
        <v>92.75171531715462</v>
      </c>
      <c r="H120" s="162">
        <f t="shared" ca="1" si="8"/>
        <v>5.7158373901299724</v>
      </c>
      <c r="I120" s="162">
        <f t="shared" ca="1" si="9"/>
        <v>98.467552707284597</v>
      </c>
      <c r="J120" s="163">
        <f t="shared" ca="1" si="10"/>
        <v>764.62389320234229</v>
      </c>
    </row>
    <row r="121" spans="6:10">
      <c r="F121" s="44">
        <v>113</v>
      </c>
      <c r="G121" s="162">
        <f t="shared" ca="1" si="7"/>
        <v>93.370060085935663</v>
      </c>
      <c r="H121" s="162">
        <f t="shared" ca="1" si="8"/>
        <v>5.0974926213489402</v>
      </c>
      <c r="I121" s="162">
        <f t="shared" ca="1" si="9"/>
        <v>98.467552707284597</v>
      </c>
      <c r="J121" s="163">
        <f t="shared" ca="1" si="10"/>
        <v>671.25383311640667</v>
      </c>
    </row>
    <row r="122" spans="6:10">
      <c r="F122" s="44">
        <v>114</v>
      </c>
      <c r="G122" s="162">
        <f t="shared" ca="1" si="7"/>
        <v>93.992527153175232</v>
      </c>
      <c r="H122" s="162">
        <f t="shared" ca="1" si="8"/>
        <v>4.4750255541093704</v>
      </c>
      <c r="I122" s="162">
        <f t="shared" ca="1" si="9"/>
        <v>98.467552707284597</v>
      </c>
      <c r="J122" s="163">
        <f t="shared" ca="1" si="10"/>
        <v>577.26130596323139</v>
      </c>
    </row>
    <row r="123" spans="6:10">
      <c r="F123" s="44">
        <v>115</v>
      </c>
      <c r="G123" s="162">
        <f t="shared" ca="1" si="7"/>
        <v>94.619144000863074</v>
      </c>
      <c r="H123" s="162">
        <f t="shared" ca="1" si="8"/>
        <v>3.8484087064215351</v>
      </c>
      <c r="I123" s="162">
        <f t="shared" ca="1" si="9"/>
        <v>98.467552707284611</v>
      </c>
      <c r="J123" s="163">
        <f t="shared" ca="1" si="10"/>
        <v>482.64216196236833</v>
      </c>
    </row>
    <row r="124" spans="6:10">
      <c r="F124" s="44">
        <v>116</v>
      </c>
      <c r="G124" s="162">
        <f t="shared" ca="1" si="7"/>
        <v>95.249938294202153</v>
      </c>
      <c r="H124" s="162">
        <f t="shared" ca="1" si="8"/>
        <v>3.217614413082448</v>
      </c>
      <c r="I124" s="162">
        <f t="shared" ca="1" si="9"/>
        <v>98.467552707284597</v>
      </c>
      <c r="J124" s="163">
        <f t="shared" ca="1" si="10"/>
        <v>387.3922236681662</v>
      </c>
    </row>
    <row r="125" spans="6:10">
      <c r="F125" s="44">
        <v>117</v>
      </c>
      <c r="G125" s="162">
        <f t="shared" ca="1" si="7"/>
        <v>95.884937882830172</v>
      </c>
      <c r="H125" s="162">
        <f t="shared" ca="1" si="8"/>
        <v>2.582614824454434</v>
      </c>
      <c r="I125" s="162">
        <f t="shared" ca="1" si="9"/>
        <v>98.467552707284611</v>
      </c>
      <c r="J125" s="163">
        <f t="shared" ca="1" si="10"/>
        <v>291.50728578533602</v>
      </c>
    </row>
    <row r="126" spans="6:10">
      <c r="F126" s="44">
        <v>118</v>
      </c>
      <c r="G126" s="162">
        <f t="shared" ca="1" si="7"/>
        <v>96.524170802049042</v>
      </c>
      <c r="H126" s="162">
        <f t="shared" ca="1" si="8"/>
        <v>1.9433819052355656</v>
      </c>
      <c r="I126" s="162">
        <f t="shared" ca="1" si="9"/>
        <v>98.467552707284611</v>
      </c>
      <c r="J126" s="163">
        <f t="shared" ca="1" si="10"/>
        <v>194.98311498328698</v>
      </c>
    </row>
    <row r="127" spans="6:10">
      <c r="F127" s="44">
        <v>119</v>
      </c>
      <c r="G127" s="162">
        <f t="shared" ca="1" si="7"/>
        <v>97.167665274062699</v>
      </c>
      <c r="H127" s="162">
        <f t="shared" ca="1" si="8"/>
        <v>1.2998874332219055</v>
      </c>
      <c r="I127" s="162">
        <f t="shared" ca="1" si="9"/>
        <v>98.467552707284611</v>
      </c>
      <c r="J127" s="163">
        <f t="shared" ca="1" si="10"/>
        <v>97.815449709224282</v>
      </c>
    </row>
    <row r="128" spans="6:10">
      <c r="F128" s="45">
        <v>120</v>
      </c>
      <c r="G128" s="165">
        <f t="shared" ca="1" si="7"/>
        <v>97.815449709223103</v>
      </c>
      <c r="H128" s="165">
        <f t="shared" ca="1" si="8"/>
        <v>0.65210299806148742</v>
      </c>
      <c r="I128" s="165">
        <f t="shared" ca="1" si="9"/>
        <v>98.467552707284597</v>
      </c>
      <c r="J128" s="166">
        <f t="shared" ca="1" si="10"/>
        <v>1.1795009413617663E-12</v>
      </c>
    </row>
  </sheetData>
  <pageMargins left="0.7" right="0.7" top="0.75" bottom="0.75" header="0.3" footer="0.3"/>
  <pageSetup scale="72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Q53"/>
  <sheetViews>
    <sheetView showGridLines="0" zoomScaleNormal="100" workbookViewId="0">
      <selection activeCell="L22" sqref="L22"/>
    </sheetView>
  </sheetViews>
  <sheetFormatPr defaultRowHeight="12"/>
  <cols>
    <col min="1" max="3" width="3" style="4" customWidth="1"/>
    <col min="4" max="4" width="22.7109375" customWidth="1"/>
    <col min="5" max="16" width="10.7109375" customWidth="1"/>
    <col min="17" max="17" width="15.7109375" style="15" customWidth="1"/>
  </cols>
  <sheetData>
    <row r="1" spans="1:17" ht="15.75">
      <c r="A1" s="3" t="s">
        <v>39</v>
      </c>
    </row>
    <row r="2" spans="1:17" ht="15.75">
      <c r="A2" s="3" t="s">
        <v>42</v>
      </c>
    </row>
    <row r="3" spans="1:17" ht="12.75" customHeight="1">
      <c r="A3" s="1"/>
      <c r="B3" s="1"/>
      <c r="C3" s="1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</row>
    <row r="4" spans="1:17" ht="12.75" customHeight="1">
      <c r="A4" s="1"/>
      <c r="B4" s="1"/>
      <c r="C4" s="1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</row>
    <row r="5" spans="1:17" ht="12.75" customHeight="1">
      <c r="A5" s="1"/>
      <c r="B5" s="1"/>
      <c r="C5" s="1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</row>
    <row r="6" spans="1:17" ht="12.75" customHeight="1" thickBot="1">
      <c r="A6" s="1"/>
      <c r="B6" s="1"/>
      <c r="C6" s="1"/>
      <c r="D6" s="16"/>
      <c r="E6" s="18" t="str">
        <f>'6. Projected Sales'!H6</f>
        <v>January</v>
      </c>
      <c r="F6" s="18" t="str">
        <f>'6. Projected Sales'!I6</f>
        <v>February</v>
      </c>
      <c r="G6" s="18" t="str">
        <f>'6. Projected Sales'!J6</f>
        <v>March</v>
      </c>
      <c r="H6" s="18" t="str">
        <f>'6. Projected Sales'!K6</f>
        <v>April</v>
      </c>
      <c r="I6" s="18" t="str">
        <f>'6. Projected Sales'!L6</f>
        <v>May</v>
      </c>
      <c r="J6" s="18" t="str">
        <f>'6. Projected Sales'!M6</f>
        <v>June</v>
      </c>
      <c r="K6" s="18" t="str">
        <f>'6. Projected Sales'!N6</f>
        <v>July</v>
      </c>
      <c r="L6" s="18" t="str">
        <f>'6. Projected Sales'!O6</f>
        <v>August</v>
      </c>
      <c r="M6" s="18" t="str">
        <f>'6. Projected Sales'!P6</f>
        <v>September</v>
      </c>
      <c r="N6" s="18" t="str">
        <f>'6. Projected Sales'!Q6</f>
        <v>October</v>
      </c>
      <c r="O6" s="18" t="str">
        <f>'6. Projected Sales'!R6</f>
        <v>November</v>
      </c>
      <c r="P6" s="18" t="str">
        <f>'6. Projected Sales'!S6</f>
        <v>December</v>
      </c>
      <c r="Q6" s="18" t="s">
        <v>0</v>
      </c>
    </row>
    <row r="7" spans="1:17" ht="12.75" customHeight="1" thickTop="1">
      <c r="A7" s="1"/>
      <c r="B7" s="1"/>
      <c r="C7" s="1"/>
      <c r="D7" s="16"/>
      <c r="E7" s="80">
        <v>1</v>
      </c>
      <c r="F7" s="80">
        <f>+E7+1</f>
        <v>2</v>
      </c>
      <c r="G7" s="80">
        <f t="shared" ref="G7:P7" si="0">+F7+1</f>
        <v>3</v>
      </c>
      <c r="H7" s="80">
        <f t="shared" si="0"/>
        <v>4</v>
      </c>
      <c r="I7" s="80">
        <f t="shared" si="0"/>
        <v>5</v>
      </c>
      <c r="J7" s="80">
        <f t="shared" si="0"/>
        <v>6</v>
      </c>
      <c r="K7" s="80">
        <f t="shared" si="0"/>
        <v>7</v>
      </c>
      <c r="L7" s="80">
        <f t="shared" si="0"/>
        <v>8</v>
      </c>
      <c r="M7" s="80">
        <f t="shared" si="0"/>
        <v>9</v>
      </c>
      <c r="N7" s="80">
        <f t="shared" si="0"/>
        <v>10</v>
      </c>
      <c r="O7" s="80">
        <f t="shared" si="0"/>
        <v>11</v>
      </c>
      <c r="P7" s="80">
        <f t="shared" si="0"/>
        <v>12</v>
      </c>
    </row>
    <row r="8" spans="1:17" ht="12.75" customHeight="1">
      <c r="A8" s="1" t="s">
        <v>24</v>
      </c>
      <c r="B8" s="1"/>
      <c r="C8" s="1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1:17" ht="12.75" customHeight="1">
      <c r="A9" s="1"/>
      <c r="B9" s="1" t="str">
        <f>'6. Projected Sales'!A8</f>
        <v>Regular Lemonade</v>
      </c>
      <c r="C9" s="1"/>
      <c r="D9" s="16"/>
      <c r="E9" s="81">
        <f>'6. Projected Sales'!$E$9*'6. Projected Sales'!H14</f>
        <v>26</v>
      </c>
      <c r="F9" s="81">
        <f>'6. Projected Sales'!$E$9*'6. Projected Sales'!I14</f>
        <v>30</v>
      </c>
      <c r="G9" s="81">
        <f>'6. Projected Sales'!$E$9*'6. Projected Sales'!J14</f>
        <v>60</v>
      </c>
      <c r="H9" s="81">
        <f>'6. Projected Sales'!$E$9*'6. Projected Sales'!K14</f>
        <v>122</v>
      </c>
      <c r="I9" s="81">
        <f>'6. Projected Sales'!$E$9*'6. Projected Sales'!L14</f>
        <v>680</v>
      </c>
      <c r="J9" s="81">
        <f>'6. Projected Sales'!$E$9*'6. Projected Sales'!M14</f>
        <v>1114</v>
      </c>
      <c r="K9" s="81">
        <f>'6. Projected Sales'!$E$9*'6. Projected Sales'!N14</f>
        <v>1362</v>
      </c>
      <c r="L9" s="81">
        <f>'6. Projected Sales'!$E$9*'6. Projected Sales'!O14</f>
        <v>1362</v>
      </c>
      <c r="M9" s="81">
        <f>'6. Projected Sales'!$E$9*'6. Projected Sales'!P14</f>
        <v>1050</v>
      </c>
      <c r="N9" s="81">
        <f>'6. Projected Sales'!$E$9*'6. Projected Sales'!Q14</f>
        <v>248</v>
      </c>
      <c r="O9" s="81">
        <f>'6. Projected Sales'!$E$9*'6. Projected Sales'!R14</f>
        <v>98</v>
      </c>
      <c r="P9" s="81">
        <f>'6. Projected Sales'!$E$9*'6. Projected Sales'!S14</f>
        <v>56</v>
      </c>
      <c r="Q9" s="82">
        <f>SUM(E9:P9)</f>
        <v>6208</v>
      </c>
    </row>
    <row r="10" spans="1:17" ht="12.75" customHeight="1" thickBot="1">
      <c r="A10" s="1"/>
      <c r="B10" s="1" t="str">
        <f>'6. Projected Sales'!A20</f>
        <v>Pink Lemonade</v>
      </c>
      <c r="C10" s="1"/>
      <c r="D10" s="16"/>
      <c r="E10" s="83">
        <f>'6. Projected Sales'!$E$21*'6. Projected Sales'!H26</f>
        <v>13.5</v>
      </c>
      <c r="F10" s="83">
        <f>'6. Projected Sales'!$E$21*'6. Projected Sales'!I26</f>
        <v>11.25</v>
      </c>
      <c r="G10" s="83">
        <f>'6. Projected Sales'!$E$21*'6. Projected Sales'!J26</f>
        <v>24.75</v>
      </c>
      <c r="H10" s="83">
        <f>'6. Projected Sales'!$E$21*'6. Projected Sales'!K26</f>
        <v>49.5</v>
      </c>
      <c r="I10" s="83">
        <f>'6. Projected Sales'!$E$21*'6. Projected Sales'!L26</f>
        <v>265.5</v>
      </c>
      <c r="J10" s="83">
        <f>'6. Projected Sales'!$E$21*'6. Projected Sales'!M26</f>
        <v>436.5</v>
      </c>
      <c r="K10" s="83">
        <f>'6. Projected Sales'!$E$21*'6. Projected Sales'!N26</f>
        <v>533.25</v>
      </c>
      <c r="L10" s="83">
        <f>'6. Projected Sales'!$E$21*'6. Projected Sales'!O26</f>
        <v>533.25</v>
      </c>
      <c r="M10" s="83">
        <f>'6. Projected Sales'!$E$21*'6. Projected Sales'!P26</f>
        <v>414</v>
      </c>
      <c r="N10" s="83">
        <f>'6. Projected Sales'!$E$21*'6. Projected Sales'!Q26</f>
        <v>96.75</v>
      </c>
      <c r="O10" s="83">
        <f>'6. Projected Sales'!$E$21*'6. Projected Sales'!R26</f>
        <v>24.75</v>
      </c>
      <c r="P10" s="83">
        <f>'6. Projected Sales'!$E$21*'6. Projected Sales'!S26</f>
        <v>24.75</v>
      </c>
      <c r="Q10" s="84">
        <f>SUM(E10:P10)</f>
        <v>2427.75</v>
      </c>
    </row>
    <row r="11" spans="1:17" ht="12.75" customHeight="1">
      <c r="A11" s="1" t="s">
        <v>25</v>
      </c>
      <c r="B11" s="1"/>
      <c r="C11" s="1"/>
      <c r="D11" s="16"/>
      <c r="E11" s="85">
        <f t="shared" ref="E11:Q11" si="1">SUM(E9:E10)</f>
        <v>39.5</v>
      </c>
      <c r="F11" s="85">
        <f t="shared" si="1"/>
        <v>41.25</v>
      </c>
      <c r="G11" s="85">
        <f t="shared" si="1"/>
        <v>84.75</v>
      </c>
      <c r="H11" s="85">
        <f t="shared" si="1"/>
        <v>171.5</v>
      </c>
      <c r="I11" s="85">
        <f t="shared" si="1"/>
        <v>945.5</v>
      </c>
      <c r="J11" s="85">
        <f t="shared" si="1"/>
        <v>1550.5</v>
      </c>
      <c r="K11" s="85">
        <f t="shared" si="1"/>
        <v>1895.25</v>
      </c>
      <c r="L11" s="85">
        <f t="shared" si="1"/>
        <v>1895.25</v>
      </c>
      <c r="M11" s="85">
        <f t="shared" si="1"/>
        <v>1464</v>
      </c>
      <c r="N11" s="85">
        <f t="shared" si="1"/>
        <v>344.75</v>
      </c>
      <c r="O11" s="85">
        <f t="shared" si="1"/>
        <v>122.75</v>
      </c>
      <c r="P11" s="85">
        <f t="shared" si="1"/>
        <v>80.75</v>
      </c>
      <c r="Q11" s="86">
        <f t="shared" si="1"/>
        <v>8635.75</v>
      </c>
    </row>
    <row r="12" spans="1:17" ht="12.75" customHeight="1">
      <c r="A12" s="1"/>
      <c r="B12" s="1"/>
      <c r="C12" s="1"/>
      <c r="D12" s="16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87"/>
    </row>
    <row r="13" spans="1:17" ht="12.75" customHeight="1">
      <c r="A13" s="1" t="s">
        <v>26</v>
      </c>
      <c r="B13" s="1"/>
      <c r="C13" s="1"/>
      <c r="D13" s="16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88"/>
    </row>
    <row r="14" spans="1:17" ht="12.75" customHeight="1">
      <c r="A14" s="1"/>
      <c r="B14" s="1" t="str">
        <f>B9</f>
        <v>Regular Lemonade</v>
      </c>
      <c r="C14" s="1"/>
      <c r="D14" s="16"/>
      <c r="E14" s="89">
        <f>'6. Projected Sales'!$E$10*'6. Projected Sales'!H14</f>
        <v>10.66</v>
      </c>
      <c r="F14" s="89">
        <f>'6. Projected Sales'!$E$10*'6. Projected Sales'!I14</f>
        <v>12.299999999999999</v>
      </c>
      <c r="G14" s="89">
        <f>'6. Projected Sales'!$E$10*'6. Projected Sales'!J14</f>
        <v>24.599999999999998</v>
      </c>
      <c r="H14" s="89">
        <f>'6. Projected Sales'!$E$10*'6. Projected Sales'!K14</f>
        <v>50.019999999999996</v>
      </c>
      <c r="I14" s="89">
        <f>'6. Projected Sales'!$E$10*'6. Projected Sales'!L14</f>
        <v>278.8</v>
      </c>
      <c r="J14" s="89">
        <f>'6. Projected Sales'!$E$10*'6. Projected Sales'!M14</f>
        <v>456.73999999999995</v>
      </c>
      <c r="K14" s="89">
        <f>'6. Projected Sales'!$E$10*'6. Projected Sales'!N14</f>
        <v>558.41999999999996</v>
      </c>
      <c r="L14" s="89">
        <f>'6. Projected Sales'!$E$10*'6. Projected Sales'!O14</f>
        <v>558.41999999999996</v>
      </c>
      <c r="M14" s="89">
        <f>'6. Projected Sales'!$E$10*'6. Projected Sales'!P14</f>
        <v>430.5</v>
      </c>
      <c r="N14" s="89">
        <f>'6. Projected Sales'!$E$10*'6. Projected Sales'!Q14</f>
        <v>101.67999999999999</v>
      </c>
      <c r="O14" s="89">
        <f>'6. Projected Sales'!$E$10*'6. Projected Sales'!R14</f>
        <v>40.18</v>
      </c>
      <c r="P14" s="89">
        <f>'6. Projected Sales'!$E$10*'6. Projected Sales'!S14</f>
        <v>22.959999999999997</v>
      </c>
      <c r="Q14" s="88">
        <f>SUM(E14:P14)</f>
        <v>2545.2799999999997</v>
      </c>
    </row>
    <row r="15" spans="1:17" ht="12.75" customHeight="1" thickBot="1">
      <c r="A15" s="1"/>
      <c r="B15" s="1" t="str">
        <f>B10</f>
        <v>Pink Lemonade</v>
      </c>
      <c r="C15" s="1"/>
      <c r="D15" s="16"/>
      <c r="E15" s="90">
        <f>'6. Projected Sales'!$E$22*'6. Projected Sales'!H26</f>
        <v>3.96</v>
      </c>
      <c r="F15" s="90">
        <f>'6. Projected Sales'!$E$22*'6. Projected Sales'!I26</f>
        <v>3.3000000000000003</v>
      </c>
      <c r="G15" s="90">
        <f>'6. Projected Sales'!$E$22*'6. Projected Sales'!J26</f>
        <v>7.2600000000000007</v>
      </c>
      <c r="H15" s="90">
        <f>'6. Projected Sales'!$E$22*'6. Projected Sales'!K26</f>
        <v>14.520000000000001</v>
      </c>
      <c r="I15" s="90">
        <f>'6. Projected Sales'!$E$22*'6. Projected Sales'!L26</f>
        <v>77.88000000000001</v>
      </c>
      <c r="J15" s="90">
        <f>'6. Projected Sales'!$E$22*'6. Projected Sales'!M26</f>
        <v>128.04</v>
      </c>
      <c r="K15" s="90">
        <f>'6. Projected Sales'!$E$22*'6. Projected Sales'!N26</f>
        <v>156.42000000000002</v>
      </c>
      <c r="L15" s="90">
        <f>'6. Projected Sales'!$E$22*'6. Projected Sales'!O26</f>
        <v>156.42000000000002</v>
      </c>
      <c r="M15" s="90">
        <f>'6. Projected Sales'!$E$22*'6. Projected Sales'!P26</f>
        <v>121.44000000000001</v>
      </c>
      <c r="N15" s="90">
        <f>'6. Projected Sales'!$E$22*'6. Projected Sales'!Q26</f>
        <v>28.380000000000003</v>
      </c>
      <c r="O15" s="90">
        <f>'6. Projected Sales'!$E$22*'6. Projected Sales'!R26</f>
        <v>7.2600000000000007</v>
      </c>
      <c r="P15" s="90">
        <f>'6. Projected Sales'!$E$22*'6. Projected Sales'!S26</f>
        <v>7.2600000000000007</v>
      </c>
      <c r="Q15" s="91">
        <f>SUM(E15:P15)</f>
        <v>712.14</v>
      </c>
    </row>
    <row r="16" spans="1:17" ht="12.75" customHeight="1">
      <c r="A16" s="1" t="s">
        <v>27</v>
      </c>
      <c r="B16" s="1"/>
      <c r="C16" s="1"/>
      <c r="D16" s="16"/>
      <c r="E16" s="68">
        <f t="shared" ref="E16:Q16" si="2">SUM(E14:E15)</f>
        <v>14.620000000000001</v>
      </c>
      <c r="F16" s="68">
        <f t="shared" si="2"/>
        <v>15.6</v>
      </c>
      <c r="G16" s="68">
        <f t="shared" si="2"/>
        <v>31.86</v>
      </c>
      <c r="H16" s="68">
        <f t="shared" si="2"/>
        <v>64.539999999999992</v>
      </c>
      <c r="I16" s="68">
        <f t="shared" si="2"/>
        <v>356.68</v>
      </c>
      <c r="J16" s="68">
        <f t="shared" si="2"/>
        <v>584.78</v>
      </c>
      <c r="K16" s="68">
        <f t="shared" si="2"/>
        <v>714.83999999999992</v>
      </c>
      <c r="L16" s="68">
        <f t="shared" si="2"/>
        <v>714.83999999999992</v>
      </c>
      <c r="M16" s="68">
        <f t="shared" si="2"/>
        <v>551.94000000000005</v>
      </c>
      <c r="N16" s="68">
        <f t="shared" si="2"/>
        <v>130.06</v>
      </c>
      <c r="O16" s="68">
        <f t="shared" si="2"/>
        <v>47.44</v>
      </c>
      <c r="P16" s="68">
        <f t="shared" si="2"/>
        <v>30.22</v>
      </c>
      <c r="Q16" s="88">
        <f t="shared" si="2"/>
        <v>3257.4199999999996</v>
      </c>
    </row>
    <row r="17" spans="1:17" ht="12.75" customHeight="1">
      <c r="A17" s="1"/>
      <c r="B17" s="1"/>
      <c r="C17" s="1"/>
      <c r="D17" s="16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87"/>
    </row>
    <row r="18" spans="1:17" ht="12.75" customHeight="1" thickBot="1">
      <c r="A18" s="1" t="s">
        <v>4</v>
      </c>
      <c r="B18" s="1"/>
      <c r="C18" s="1"/>
      <c r="D18" s="16"/>
      <c r="E18" s="92">
        <f t="shared" ref="E18:Q18" si="3">E11-E16</f>
        <v>24.88</v>
      </c>
      <c r="F18" s="92">
        <f t="shared" si="3"/>
        <v>25.65</v>
      </c>
      <c r="G18" s="92">
        <f t="shared" si="3"/>
        <v>52.89</v>
      </c>
      <c r="H18" s="92">
        <f t="shared" si="3"/>
        <v>106.96000000000001</v>
      </c>
      <c r="I18" s="92">
        <f t="shared" si="3"/>
        <v>588.81999999999994</v>
      </c>
      <c r="J18" s="92">
        <f t="shared" si="3"/>
        <v>965.72</v>
      </c>
      <c r="K18" s="92">
        <f t="shared" si="3"/>
        <v>1180.4100000000001</v>
      </c>
      <c r="L18" s="92">
        <f t="shared" si="3"/>
        <v>1180.4100000000001</v>
      </c>
      <c r="M18" s="92">
        <f t="shared" si="3"/>
        <v>912.06</v>
      </c>
      <c r="N18" s="92">
        <f t="shared" si="3"/>
        <v>214.69</v>
      </c>
      <c r="O18" s="92">
        <f t="shared" si="3"/>
        <v>75.31</v>
      </c>
      <c r="P18" s="92">
        <f t="shared" si="3"/>
        <v>50.53</v>
      </c>
      <c r="Q18" s="93">
        <f t="shared" si="3"/>
        <v>5378.33</v>
      </c>
    </row>
    <row r="19" spans="1:17" ht="12.75" customHeight="1">
      <c r="A19" s="1"/>
      <c r="B19" s="1"/>
      <c r="C19" s="1"/>
      <c r="D19" s="16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88"/>
    </row>
    <row r="20" spans="1:17" ht="12.75" customHeight="1">
      <c r="A20" s="1" t="s">
        <v>12</v>
      </c>
      <c r="B20" s="1"/>
      <c r="C20" s="1"/>
      <c r="D20" s="16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88"/>
    </row>
    <row r="21" spans="1:17" ht="12.75" customHeight="1">
      <c r="A21" s="1"/>
      <c r="B21" s="1" t="s">
        <v>35</v>
      </c>
      <c r="C21" s="1"/>
      <c r="D21" s="16"/>
      <c r="E21" s="89">
        <f>+'7. Projected Payroll'!K10</f>
        <v>9</v>
      </c>
      <c r="F21" s="89">
        <f>+'7. Projected Payroll'!L10</f>
        <v>9</v>
      </c>
      <c r="G21" s="89">
        <f>+'7. Projected Payroll'!M10</f>
        <v>27</v>
      </c>
      <c r="H21" s="89">
        <f>+'7. Projected Payroll'!N10</f>
        <v>54</v>
      </c>
      <c r="I21" s="89">
        <f>+'7. Projected Payroll'!O10</f>
        <v>315</v>
      </c>
      <c r="J21" s="89">
        <f>+'7. Projected Payroll'!P10</f>
        <v>522</v>
      </c>
      <c r="K21" s="89">
        <f>+'7. Projected Payroll'!Q10</f>
        <v>639</v>
      </c>
      <c r="L21" s="89">
        <f>+'7. Projected Payroll'!R10</f>
        <v>639</v>
      </c>
      <c r="M21" s="89">
        <f>+'7. Projected Payroll'!S10</f>
        <v>486</v>
      </c>
      <c r="N21" s="89">
        <f>+'7. Projected Payroll'!T10</f>
        <v>108</v>
      </c>
      <c r="O21" s="89">
        <f>+'7. Projected Payroll'!U10</f>
        <v>36</v>
      </c>
      <c r="P21" s="89">
        <f>+'7. Projected Payroll'!V10</f>
        <v>27</v>
      </c>
      <c r="Q21" s="88">
        <f>SUM(E21:P21)</f>
        <v>2871</v>
      </c>
    </row>
    <row r="22" spans="1:17" ht="12.75" customHeight="1" thickBot="1">
      <c r="A22" s="1"/>
      <c r="B22" s="1" t="str">
        <f>'7. Projected Payroll'!A11</f>
        <v>Payroll Taxes</v>
      </c>
      <c r="C22" s="1"/>
      <c r="D22" s="16"/>
      <c r="E22" s="94">
        <f>+'7. Projected Payroll'!K11</f>
        <v>0.6885</v>
      </c>
      <c r="F22" s="94">
        <f>+'7. Projected Payroll'!L11</f>
        <v>0.6885</v>
      </c>
      <c r="G22" s="94">
        <f>+'7. Projected Payroll'!M11</f>
        <v>2.0655000000000001</v>
      </c>
      <c r="H22" s="94">
        <f>+'7. Projected Payroll'!N11</f>
        <v>4.1310000000000002</v>
      </c>
      <c r="I22" s="94">
        <f>+'7. Projected Payroll'!O11</f>
        <v>24.0975</v>
      </c>
      <c r="J22" s="94">
        <f>+'7. Projected Payroll'!P11</f>
        <v>39.933</v>
      </c>
      <c r="K22" s="94">
        <f>+'7. Projected Payroll'!Q11</f>
        <v>48.883499999999998</v>
      </c>
      <c r="L22" s="94">
        <f>+'7. Projected Payroll'!R11</f>
        <v>48.883499999999998</v>
      </c>
      <c r="M22" s="94">
        <f>+'7. Projected Payroll'!S11</f>
        <v>37.179000000000002</v>
      </c>
      <c r="N22" s="94">
        <f>+'7. Projected Payroll'!T11</f>
        <v>8.2620000000000005</v>
      </c>
      <c r="O22" s="94">
        <f>+'7. Projected Payroll'!U11</f>
        <v>2.754</v>
      </c>
      <c r="P22" s="94">
        <f>+'7. Projected Payroll'!V11</f>
        <v>2.0655000000000001</v>
      </c>
      <c r="Q22" s="91">
        <f>SUM(E22:P22)</f>
        <v>219.63149999999996</v>
      </c>
    </row>
    <row r="23" spans="1:17" ht="12.75" customHeight="1" collapsed="1">
      <c r="A23" s="1" t="s">
        <v>28</v>
      </c>
      <c r="B23" s="1"/>
      <c r="C23" s="1"/>
      <c r="D23" s="16"/>
      <c r="E23" s="68">
        <f t="shared" ref="E23:Q23" si="4">SUM(E21:E22)</f>
        <v>9.6884999999999994</v>
      </c>
      <c r="F23" s="68">
        <f t="shared" si="4"/>
        <v>9.6884999999999994</v>
      </c>
      <c r="G23" s="68">
        <f t="shared" si="4"/>
        <v>29.0655</v>
      </c>
      <c r="H23" s="68">
        <f t="shared" si="4"/>
        <v>58.131</v>
      </c>
      <c r="I23" s="68">
        <f t="shared" si="4"/>
        <v>339.09750000000003</v>
      </c>
      <c r="J23" s="68">
        <f t="shared" si="4"/>
        <v>561.93299999999999</v>
      </c>
      <c r="K23" s="68">
        <f t="shared" si="4"/>
        <v>687.88350000000003</v>
      </c>
      <c r="L23" s="68">
        <f t="shared" si="4"/>
        <v>687.88350000000003</v>
      </c>
      <c r="M23" s="68">
        <f t="shared" si="4"/>
        <v>523.17899999999997</v>
      </c>
      <c r="N23" s="68">
        <f t="shared" si="4"/>
        <v>116.262</v>
      </c>
      <c r="O23" s="68">
        <f t="shared" si="4"/>
        <v>38.753999999999998</v>
      </c>
      <c r="P23" s="68">
        <f t="shared" si="4"/>
        <v>29.0655</v>
      </c>
      <c r="Q23" s="88">
        <f t="shared" si="4"/>
        <v>3090.6315</v>
      </c>
    </row>
    <row r="24" spans="1:17" ht="12.75" customHeight="1">
      <c r="A24" s="1"/>
      <c r="B24" s="1"/>
      <c r="C24" s="1"/>
      <c r="D24" s="16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88"/>
    </row>
    <row r="25" spans="1:17" ht="12.75" customHeight="1">
      <c r="A25" s="1" t="s">
        <v>62</v>
      </c>
      <c r="B25" s="1"/>
      <c r="C25" s="1"/>
      <c r="D25" s="16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88"/>
    </row>
    <row r="26" spans="1:17" ht="12.75" customHeight="1">
      <c r="A26" s="1"/>
      <c r="B26" s="1" t="s">
        <v>18</v>
      </c>
      <c r="C26" s="1"/>
      <c r="D26" s="16"/>
      <c r="E26" s="89">
        <f>+'8. Projected Oper. Expenses'!$G10</f>
        <v>15</v>
      </c>
      <c r="F26" s="95">
        <f>+'8. Projected Oper. Expenses'!$G10</f>
        <v>15</v>
      </c>
      <c r="G26" s="95">
        <f>+'8. Projected Oper. Expenses'!$G10</f>
        <v>15</v>
      </c>
      <c r="H26" s="95">
        <f>+'8. Projected Oper. Expenses'!$G10</f>
        <v>15</v>
      </c>
      <c r="I26" s="95">
        <f>+'8. Projected Oper. Expenses'!$G10</f>
        <v>15</v>
      </c>
      <c r="J26" s="95">
        <f>+'8. Projected Oper. Expenses'!$G10</f>
        <v>15</v>
      </c>
      <c r="K26" s="95">
        <f>+'8. Projected Oper. Expenses'!$G10</f>
        <v>15</v>
      </c>
      <c r="L26" s="95">
        <f>+'8. Projected Oper. Expenses'!$G10</f>
        <v>15</v>
      </c>
      <c r="M26" s="95">
        <f>+'8. Projected Oper. Expenses'!$G10</f>
        <v>15</v>
      </c>
      <c r="N26" s="95">
        <f>+'8. Projected Oper. Expenses'!$G10</f>
        <v>15</v>
      </c>
      <c r="O26" s="95">
        <f>+'8. Projected Oper. Expenses'!$G10</f>
        <v>15</v>
      </c>
      <c r="P26" s="95">
        <f>+'8. Projected Oper. Expenses'!$G10</f>
        <v>15</v>
      </c>
      <c r="Q26" s="88">
        <f t="shared" ref="Q26:Q31" si="5">SUM(E26:P26)</f>
        <v>180</v>
      </c>
    </row>
    <row r="27" spans="1:17" ht="12.75" customHeight="1">
      <c r="A27" s="1"/>
      <c r="B27" s="1" t="s">
        <v>30</v>
      </c>
      <c r="C27" s="1"/>
      <c r="D27" s="16"/>
      <c r="E27" s="89">
        <f>+'8. Projected Oper. Expenses'!$G11</f>
        <v>3</v>
      </c>
      <c r="F27" s="95">
        <f>+'8. Projected Oper. Expenses'!$G11</f>
        <v>3</v>
      </c>
      <c r="G27" s="95">
        <f>+'8. Projected Oper. Expenses'!$G11</f>
        <v>3</v>
      </c>
      <c r="H27" s="95">
        <f>+'8. Projected Oper. Expenses'!$G11</f>
        <v>3</v>
      </c>
      <c r="I27" s="95">
        <f>+'8. Projected Oper. Expenses'!$G11</f>
        <v>3</v>
      </c>
      <c r="J27" s="95">
        <f>+'8. Projected Oper. Expenses'!$G11</f>
        <v>3</v>
      </c>
      <c r="K27" s="95">
        <f>+'8. Projected Oper. Expenses'!$G11</f>
        <v>3</v>
      </c>
      <c r="L27" s="95">
        <f>+'8. Projected Oper. Expenses'!$G11</f>
        <v>3</v>
      </c>
      <c r="M27" s="95">
        <f>+'8. Projected Oper. Expenses'!$G11</f>
        <v>3</v>
      </c>
      <c r="N27" s="95">
        <f>+'8. Projected Oper. Expenses'!$G11</f>
        <v>3</v>
      </c>
      <c r="O27" s="95">
        <f>+'8. Projected Oper. Expenses'!$G11</f>
        <v>3</v>
      </c>
      <c r="P27" s="95">
        <f>+'8. Projected Oper. Expenses'!$G11</f>
        <v>3</v>
      </c>
      <c r="Q27" s="88">
        <f t="shared" si="5"/>
        <v>36</v>
      </c>
    </row>
    <row r="28" spans="1:17" ht="12.75" customHeight="1">
      <c r="A28" s="1"/>
      <c r="B28" s="1" t="s">
        <v>19</v>
      </c>
      <c r="C28" s="1"/>
      <c r="D28" s="16"/>
      <c r="E28" s="89">
        <f>+'8. Projected Oper. Expenses'!$G12</f>
        <v>2.25</v>
      </c>
      <c r="F28" s="95">
        <f>+'8. Projected Oper. Expenses'!$G12</f>
        <v>2.25</v>
      </c>
      <c r="G28" s="95">
        <f>+'8. Projected Oper. Expenses'!$G12</f>
        <v>2.25</v>
      </c>
      <c r="H28" s="95">
        <f>+'8. Projected Oper. Expenses'!$G12</f>
        <v>2.25</v>
      </c>
      <c r="I28" s="95">
        <f>+'8. Projected Oper. Expenses'!$G12</f>
        <v>2.25</v>
      </c>
      <c r="J28" s="95">
        <f>+'8. Projected Oper. Expenses'!$G12</f>
        <v>2.25</v>
      </c>
      <c r="K28" s="95">
        <f>+'8. Projected Oper. Expenses'!$G12</f>
        <v>2.25</v>
      </c>
      <c r="L28" s="95">
        <f>+'8. Projected Oper. Expenses'!$G12</f>
        <v>2.25</v>
      </c>
      <c r="M28" s="95">
        <f>+'8. Projected Oper. Expenses'!$G12</f>
        <v>2.25</v>
      </c>
      <c r="N28" s="95">
        <f>+'8. Projected Oper. Expenses'!$G12</f>
        <v>2.25</v>
      </c>
      <c r="O28" s="95">
        <f>+'8. Projected Oper. Expenses'!$G12</f>
        <v>2.25</v>
      </c>
      <c r="P28" s="95">
        <f>+'8. Projected Oper. Expenses'!$G12</f>
        <v>2.25</v>
      </c>
      <c r="Q28" s="88">
        <f t="shared" si="5"/>
        <v>27</v>
      </c>
    </row>
    <row r="29" spans="1:17" ht="12.75" customHeight="1">
      <c r="A29" s="1"/>
      <c r="B29" s="1" t="s">
        <v>36</v>
      </c>
      <c r="C29" s="1"/>
      <c r="D29" s="16"/>
      <c r="E29" s="89">
        <f>+'8. Projected Oper. Expenses'!$G13</f>
        <v>1.85</v>
      </c>
      <c r="F29" s="95">
        <f>+'8. Projected Oper. Expenses'!$G13</f>
        <v>1.85</v>
      </c>
      <c r="G29" s="95">
        <f>+'8. Projected Oper. Expenses'!$G13</f>
        <v>1.85</v>
      </c>
      <c r="H29" s="95">
        <f>+'8. Projected Oper. Expenses'!$G13</f>
        <v>1.85</v>
      </c>
      <c r="I29" s="95">
        <f>+'8. Projected Oper. Expenses'!$G13</f>
        <v>1.85</v>
      </c>
      <c r="J29" s="95">
        <f>+'8. Projected Oper. Expenses'!$G13</f>
        <v>1.85</v>
      </c>
      <c r="K29" s="95">
        <f>+'8. Projected Oper. Expenses'!$G13</f>
        <v>1.85</v>
      </c>
      <c r="L29" s="95">
        <f>+'8. Projected Oper. Expenses'!$G13</f>
        <v>1.85</v>
      </c>
      <c r="M29" s="95">
        <f>+'8. Projected Oper. Expenses'!$G13</f>
        <v>1.85</v>
      </c>
      <c r="N29" s="95">
        <f>+'8. Projected Oper. Expenses'!$G13</f>
        <v>1.85</v>
      </c>
      <c r="O29" s="95">
        <f>+'8. Projected Oper. Expenses'!$G13</f>
        <v>1.85</v>
      </c>
      <c r="P29" s="95">
        <f>+'8. Projected Oper. Expenses'!$G13</f>
        <v>1.85</v>
      </c>
      <c r="Q29" s="88">
        <f t="shared" si="5"/>
        <v>22.200000000000003</v>
      </c>
    </row>
    <row r="30" spans="1:17" ht="12.75" customHeight="1">
      <c r="A30" s="1"/>
      <c r="B30" s="1" t="s">
        <v>38</v>
      </c>
      <c r="C30" s="1"/>
      <c r="D30" s="16"/>
      <c r="E30" s="89">
        <f>+'8. Projected Oper. Expenses'!$G14</f>
        <v>20</v>
      </c>
      <c r="F30" s="95">
        <f>+'8. Projected Oper. Expenses'!$G14</f>
        <v>20</v>
      </c>
      <c r="G30" s="95">
        <f>+'8. Projected Oper. Expenses'!$G14</f>
        <v>20</v>
      </c>
      <c r="H30" s="95">
        <f>+'8. Projected Oper. Expenses'!$G14</f>
        <v>20</v>
      </c>
      <c r="I30" s="95">
        <f>+'8. Projected Oper. Expenses'!$G14</f>
        <v>20</v>
      </c>
      <c r="J30" s="95">
        <f>+'8. Projected Oper. Expenses'!$G14</f>
        <v>20</v>
      </c>
      <c r="K30" s="95">
        <f>+'8. Projected Oper. Expenses'!$G14</f>
        <v>20</v>
      </c>
      <c r="L30" s="95">
        <f>+'8. Projected Oper. Expenses'!$G14</f>
        <v>20</v>
      </c>
      <c r="M30" s="95">
        <f>+'8. Projected Oper. Expenses'!$G14</f>
        <v>20</v>
      </c>
      <c r="N30" s="95">
        <f>+'8. Projected Oper. Expenses'!$G14</f>
        <v>20</v>
      </c>
      <c r="O30" s="95">
        <f>+'8. Projected Oper. Expenses'!$G14</f>
        <v>20</v>
      </c>
      <c r="P30" s="95">
        <f>+'8. Projected Oper. Expenses'!$G14</f>
        <v>20</v>
      </c>
      <c r="Q30" s="88">
        <f t="shared" si="5"/>
        <v>240</v>
      </c>
    </row>
    <row r="31" spans="1:17" ht="12.75" customHeight="1" thickBot="1">
      <c r="A31" s="1"/>
      <c r="B31" s="1" t="s">
        <v>29</v>
      </c>
      <c r="C31" s="1"/>
      <c r="D31" s="16"/>
      <c r="E31" s="94">
        <f>+'8. Projected Oper. Expenses'!$G15</f>
        <v>2.0499999999999998</v>
      </c>
      <c r="F31" s="94">
        <f>+'8. Projected Oper. Expenses'!$G15</f>
        <v>2.0499999999999998</v>
      </c>
      <c r="G31" s="94">
        <f>+'8. Projected Oper. Expenses'!$G15</f>
        <v>2.0499999999999998</v>
      </c>
      <c r="H31" s="94">
        <f>+'8. Projected Oper. Expenses'!$G15</f>
        <v>2.0499999999999998</v>
      </c>
      <c r="I31" s="94">
        <f>+'8. Projected Oper. Expenses'!$G15</f>
        <v>2.0499999999999998</v>
      </c>
      <c r="J31" s="94">
        <f>+'8. Projected Oper. Expenses'!$G15</f>
        <v>2.0499999999999998</v>
      </c>
      <c r="K31" s="94">
        <f>+'8. Projected Oper. Expenses'!$G15</f>
        <v>2.0499999999999998</v>
      </c>
      <c r="L31" s="94">
        <f>+'8. Projected Oper. Expenses'!$G15</f>
        <v>2.0499999999999998</v>
      </c>
      <c r="M31" s="94">
        <f>+'8. Projected Oper. Expenses'!$G15</f>
        <v>2.0499999999999998</v>
      </c>
      <c r="N31" s="94">
        <f>+'8. Projected Oper. Expenses'!$G15</f>
        <v>2.0499999999999998</v>
      </c>
      <c r="O31" s="94">
        <f>+'8. Projected Oper. Expenses'!$G15</f>
        <v>2.0499999999999998</v>
      </c>
      <c r="P31" s="94">
        <f>+'8. Projected Oper. Expenses'!$G15</f>
        <v>2.0499999999999998</v>
      </c>
      <c r="Q31" s="91">
        <f t="shared" si="5"/>
        <v>24.600000000000005</v>
      </c>
    </row>
    <row r="32" spans="1:17" ht="12.75" customHeight="1">
      <c r="A32" s="1" t="s">
        <v>63</v>
      </c>
      <c r="B32" s="1"/>
      <c r="C32" s="1"/>
      <c r="D32" s="16"/>
      <c r="E32" s="68">
        <f t="shared" ref="E32:Q32" si="6">SUM(E26:E31)</f>
        <v>44.15</v>
      </c>
      <c r="F32" s="68">
        <f t="shared" si="6"/>
        <v>44.15</v>
      </c>
      <c r="G32" s="68">
        <f t="shared" si="6"/>
        <v>44.15</v>
      </c>
      <c r="H32" s="68">
        <f t="shared" si="6"/>
        <v>44.15</v>
      </c>
      <c r="I32" s="68">
        <f t="shared" si="6"/>
        <v>44.15</v>
      </c>
      <c r="J32" s="68">
        <f t="shared" si="6"/>
        <v>44.15</v>
      </c>
      <c r="K32" s="68">
        <f t="shared" si="6"/>
        <v>44.15</v>
      </c>
      <c r="L32" s="68">
        <f t="shared" si="6"/>
        <v>44.15</v>
      </c>
      <c r="M32" s="68">
        <f t="shared" si="6"/>
        <v>44.15</v>
      </c>
      <c r="N32" s="68">
        <f t="shared" si="6"/>
        <v>44.15</v>
      </c>
      <c r="O32" s="68">
        <f t="shared" si="6"/>
        <v>44.15</v>
      </c>
      <c r="P32" s="68">
        <f t="shared" si="6"/>
        <v>44.15</v>
      </c>
      <c r="Q32" s="88">
        <f t="shared" si="6"/>
        <v>529.79999999999995</v>
      </c>
    </row>
    <row r="33" spans="1:17" ht="12.75" customHeight="1">
      <c r="A33" s="1"/>
      <c r="B33" s="1"/>
      <c r="C33" s="1"/>
      <c r="D33" s="16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88"/>
    </row>
    <row r="34" spans="1:17" ht="15.95" customHeight="1" thickBot="1">
      <c r="A34" s="1" t="s">
        <v>91</v>
      </c>
      <c r="B34" s="1"/>
      <c r="C34" s="1"/>
      <c r="D34" s="16"/>
      <c r="E34" s="37">
        <f>+E18-E23-E32</f>
        <v>-28.958500000000001</v>
      </c>
      <c r="F34" s="37">
        <f t="shared" ref="F34:Q34" si="7">+F18-F23-F32</f>
        <v>-28.188499999999998</v>
      </c>
      <c r="G34" s="37">
        <f t="shared" si="7"/>
        <v>-20.325499999999998</v>
      </c>
      <c r="H34" s="37">
        <f t="shared" si="7"/>
        <v>4.6790000000000092</v>
      </c>
      <c r="I34" s="37">
        <f t="shared" si="7"/>
        <v>205.57249999999991</v>
      </c>
      <c r="J34" s="37">
        <f t="shared" si="7"/>
        <v>359.63700000000006</v>
      </c>
      <c r="K34" s="37">
        <f t="shared" si="7"/>
        <v>448.37650000000008</v>
      </c>
      <c r="L34" s="37">
        <f t="shared" si="7"/>
        <v>448.37650000000008</v>
      </c>
      <c r="M34" s="37">
        <f t="shared" si="7"/>
        <v>344.73099999999999</v>
      </c>
      <c r="N34" s="37">
        <f t="shared" si="7"/>
        <v>54.277999999999999</v>
      </c>
      <c r="O34" s="37">
        <f t="shared" si="7"/>
        <v>-7.5939999999999941</v>
      </c>
      <c r="P34" s="37">
        <f t="shared" si="7"/>
        <v>-22.685499999999998</v>
      </c>
      <c r="Q34" s="37">
        <f t="shared" si="7"/>
        <v>1757.8985</v>
      </c>
    </row>
    <row r="35" spans="1:17" ht="12.75" customHeight="1" thickTop="1">
      <c r="A35" s="1"/>
      <c r="B35" s="1"/>
      <c r="C35" s="1"/>
      <c r="D35" s="16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87"/>
    </row>
    <row r="36" spans="1:17" ht="12.75" customHeight="1">
      <c r="A36" s="1"/>
      <c r="B36" s="1"/>
      <c r="C36" s="1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</row>
    <row r="37" spans="1:17" ht="12.75" customHeight="1"/>
    <row r="38" spans="1:17" ht="12.75" customHeight="1"/>
    <row r="39" spans="1:17" ht="12.75" customHeight="1"/>
    <row r="40" spans="1:17" ht="12.75" customHeight="1"/>
    <row r="41" spans="1:17" ht="12.75" customHeight="1"/>
    <row r="42" spans="1:17" ht="12.75" customHeight="1"/>
    <row r="43" spans="1:17" ht="12.75" customHeight="1"/>
    <row r="44" spans="1:17" ht="12.75" customHeight="1"/>
    <row r="45" spans="1:17" ht="12.75" customHeight="1"/>
    <row r="46" spans="1:17" ht="12.75" customHeight="1"/>
    <row r="47" spans="1:17" ht="12.75" customHeight="1"/>
    <row r="48" spans="1:17" ht="12.75" customHeight="1"/>
    <row r="49" ht="12.75" customHeight="1"/>
    <row r="50" ht="12.75" customHeight="1"/>
    <row r="51" ht="12.75" customHeight="1"/>
    <row r="52" ht="12.75" customHeight="1"/>
    <row r="53" ht="12.75" customHeight="1"/>
  </sheetData>
  <phoneticPr fontId="6" type="noConversion"/>
  <pageMargins left="0.75" right="0.75" top="1" bottom="0.75" header="0.5" footer="0.5"/>
  <pageSetup scale="73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99"/>
    <pageSetUpPr fitToPage="1"/>
  </sheetPr>
  <dimension ref="A1:T32"/>
  <sheetViews>
    <sheetView showGridLines="0" zoomScaleNormal="100" workbookViewId="0">
      <selection activeCell="O17" sqref="O17"/>
    </sheetView>
  </sheetViews>
  <sheetFormatPr defaultRowHeight="12"/>
  <cols>
    <col min="1" max="1" width="3" customWidth="1"/>
    <col min="2" max="3" width="3" style="1" customWidth="1"/>
    <col min="4" max="4" width="15.7109375" customWidth="1"/>
    <col min="5" max="5" width="15.7109375" style="2" customWidth="1"/>
    <col min="6" max="6" width="10.7109375" style="2" customWidth="1"/>
    <col min="7" max="7" width="3" style="2" customWidth="1"/>
    <col min="8" max="19" width="11.7109375" customWidth="1"/>
    <col min="20" max="20" width="9.7109375" customWidth="1"/>
  </cols>
  <sheetData>
    <row r="1" spans="1:20" ht="15.75">
      <c r="A1" s="3" t="s">
        <v>39</v>
      </c>
    </row>
    <row r="2" spans="1:20" ht="15.75">
      <c r="A2" s="3" t="s">
        <v>64</v>
      </c>
    </row>
    <row r="3" spans="1:20" ht="12.75" customHeight="1">
      <c r="A3" s="13"/>
      <c r="B3" s="14"/>
      <c r="C3" s="14"/>
      <c r="D3" s="15"/>
      <c r="E3" s="28"/>
      <c r="F3" s="28"/>
      <c r="G3" s="28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ht="12.75" customHeight="1">
      <c r="A4" s="15"/>
      <c r="B4" s="14"/>
      <c r="C4" s="14"/>
      <c r="D4" s="15"/>
      <c r="E4" s="28"/>
      <c r="F4" s="28"/>
      <c r="G4" s="28"/>
      <c r="H4" s="39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 ht="12.75" customHeight="1">
      <c r="A5" s="15"/>
      <c r="B5" s="14"/>
      <c r="C5" s="14"/>
      <c r="D5" s="15"/>
      <c r="E5" s="28"/>
      <c r="F5" s="28"/>
      <c r="G5" s="28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 s="1" customFormat="1" ht="12.75" customHeight="1" thickBot="1">
      <c r="A6" s="25" t="s">
        <v>10</v>
      </c>
      <c r="B6" s="25"/>
      <c r="C6" s="25"/>
      <c r="D6" s="25"/>
      <c r="E6" s="26" t="s">
        <v>6</v>
      </c>
      <c r="F6" s="27" t="s">
        <v>11</v>
      </c>
      <c r="G6" s="26"/>
      <c r="H6" s="59" t="s">
        <v>44</v>
      </c>
      <c r="I6" s="59" t="s">
        <v>45</v>
      </c>
      <c r="J6" s="59" t="s">
        <v>46</v>
      </c>
      <c r="K6" s="59" t="s">
        <v>47</v>
      </c>
      <c r="L6" s="59" t="s">
        <v>31</v>
      </c>
      <c r="M6" s="59" t="s">
        <v>48</v>
      </c>
      <c r="N6" s="59" t="s">
        <v>49</v>
      </c>
      <c r="O6" s="59" t="s">
        <v>50</v>
      </c>
      <c r="P6" s="59" t="s">
        <v>51</v>
      </c>
      <c r="Q6" s="59" t="s">
        <v>52</v>
      </c>
      <c r="R6" s="59" t="s">
        <v>53</v>
      </c>
      <c r="S6" s="59" t="s">
        <v>54</v>
      </c>
      <c r="T6" s="40" t="s">
        <v>0</v>
      </c>
    </row>
    <row r="7" spans="1:20" ht="12.75" customHeight="1" thickTop="1">
      <c r="A7" s="15"/>
      <c r="B7" s="14"/>
      <c r="C7" s="14"/>
      <c r="D7" s="15"/>
      <c r="E7" s="28"/>
      <c r="F7" s="28"/>
      <c r="G7" s="28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 ht="12.75" customHeight="1">
      <c r="A8" s="70" t="s">
        <v>32</v>
      </c>
      <c r="B8" s="71"/>
      <c r="C8" s="71"/>
      <c r="D8" s="71"/>
      <c r="E8" s="28"/>
      <c r="F8" s="28"/>
      <c r="G8" s="28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 ht="12.75" customHeight="1">
      <c r="A9" s="14"/>
      <c r="B9" s="14" t="s">
        <v>1</v>
      </c>
      <c r="C9" s="14"/>
      <c r="D9" s="15"/>
      <c r="E9" s="77">
        <v>2</v>
      </c>
      <c r="F9" s="29">
        <v>1</v>
      </c>
      <c r="G9" s="29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 ht="12.75" customHeight="1">
      <c r="A10" s="14"/>
      <c r="B10" s="14" t="s">
        <v>2</v>
      </c>
      <c r="C10" s="14"/>
      <c r="D10" s="15"/>
      <c r="E10" s="78">
        <v>0.82</v>
      </c>
      <c r="F10" s="30">
        <f>IF(E9&gt;0,E10/E9,0)</f>
        <v>0.41</v>
      </c>
      <c r="G10" s="29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 ht="12.75" customHeight="1">
      <c r="A11" s="14"/>
      <c r="B11" s="14" t="s">
        <v>9</v>
      </c>
      <c r="C11" s="14"/>
      <c r="D11" s="15"/>
      <c r="E11" s="31">
        <f>E9-E10</f>
        <v>1.1800000000000002</v>
      </c>
      <c r="F11" s="29">
        <f>IF(E9&gt;0,E11/E9,0)</f>
        <v>0.59000000000000008</v>
      </c>
      <c r="G11" s="29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 ht="12.75" customHeight="1">
      <c r="A12" s="14"/>
      <c r="B12" s="14" t="s">
        <v>5</v>
      </c>
      <c r="C12" s="14"/>
      <c r="D12" s="15"/>
      <c r="E12" s="28"/>
      <c r="F12" s="28"/>
      <c r="G12" s="28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 ht="12.75" customHeight="1" thickBot="1">
      <c r="A13" s="14"/>
      <c r="B13" s="14"/>
      <c r="C13" s="14" t="s">
        <v>8</v>
      </c>
      <c r="D13" s="15"/>
      <c r="E13" s="28"/>
      <c r="F13" s="28"/>
      <c r="G13" s="28"/>
      <c r="H13" s="74">
        <f t="shared" ref="H13:S13" si="0">IF(H14=0,0,H14/$T$14)</f>
        <v>4.1881443298969071E-3</v>
      </c>
      <c r="I13" s="74">
        <f t="shared" si="0"/>
        <v>4.8324742268041239E-3</v>
      </c>
      <c r="J13" s="74">
        <f t="shared" si="0"/>
        <v>9.6649484536082478E-3</v>
      </c>
      <c r="K13" s="74">
        <f t="shared" si="0"/>
        <v>1.9652061855670103E-2</v>
      </c>
      <c r="L13" s="74">
        <f t="shared" si="0"/>
        <v>0.1095360824742268</v>
      </c>
      <c r="M13" s="74">
        <f t="shared" si="0"/>
        <v>0.17944587628865979</v>
      </c>
      <c r="N13" s="74">
        <f t="shared" si="0"/>
        <v>0.21939432989690721</v>
      </c>
      <c r="O13" s="74">
        <f t="shared" si="0"/>
        <v>0.21939432989690721</v>
      </c>
      <c r="P13" s="74">
        <f t="shared" si="0"/>
        <v>0.16913659793814434</v>
      </c>
      <c r="Q13" s="74">
        <f t="shared" si="0"/>
        <v>3.994845360824742E-2</v>
      </c>
      <c r="R13" s="74">
        <f t="shared" si="0"/>
        <v>1.5786082474226804E-2</v>
      </c>
      <c r="S13" s="74">
        <f t="shared" si="0"/>
        <v>9.0206185567010301E-3</v>
      </c>
      <c r="T13" s="75">
        <f>SUM(H13:S13)</f>
        <v>0.99999999999999978</v>
      </c>
    </row>
    <row r="14" spans="1:20" ht="12.75" customHeight="1">
      <c r="A14" s="14"/>
      <c r="B14" s="14"/>
      <c r="C14" s="1" t="s">
        <v>5</v>
      </c>
      <c r="D14" s="15"/>
      <c r="E14" s="28"/>
      <c r="F14" s="28"/>
      <c r="G14" s="28"/>
      <c r="H14" s="79">
        <v>13</v>
      </c>
      <c r="I14" s="79">
        <v>15</v>
      </c>
      <c r="J14" s="79">
        <v>30</v>
      </c>
      <c r="K14" s="79">
        <v>61</v>
      </c>
      <c r="L14" s="79">
        <v>340</v>
      </c>
      <c r="M14" s="79">
        <v>557</v>
      </c>
      <c r="N14" s="79">
        <v>681</v>
      </c>
      <c r="O14" s="79">
        <v>681</v>
      </c>
      <c r="P14" s="79">
        <v>525</v>
      </c>
      <c r="Q14" s="79">
        <v>124</v>
      </c>
      <c r="R14" s="79">
        <v>49</v>
      </c>
      <c r="S14" s="79">
        <v>28</v>
      </c>
      <c r="T14" s="76">
        <f>SUM(H14:S14)</f>
        <v>3104</v>
      </c>
    </row>
    <row r="15" spans="1:20" ht="12.75" customHeight="1">
      <c r="A15" s="15"/>
      <c r="B15" s="14"/>
      <c r="C15" s="14"/>
      <c r="D15" s="15"/>
      <c r="E15" s="28"/>
      <c r="F15" s="28"/>
      <c r="G15" s="28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 ht="12.75" customHeight="1">
      <c r="A16" s="15"/>
      <c r="B16" s="14" t="s">
        <v>7</v>
      </c>
      <c r="C16" s="14"/>
      <c r="D16" s="15"/>
      <c r="E16" s="32">
        <f>T14*E9</f>
        <v>6208</v>
      </c>
      <c r="F16" s="29"/>
      <c r="G16" s="28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 ht="12.75" customHeight="1">
      <c r="A17" s="15"/>
      <c r="B17" s="14" t="s">
        <v>3</v>
      </c>
      <c r="C17" s="14"/>
      <c r="D17" s="15"/>
      <c r="E17" s="33">
        <f>E10*T14</f>
        <v>2545.2799999999997</v>
      </c>
      <c r="F17" s="29"/>
      <c r="G17" s="28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 ht="12.75" customHeight="1">
      <c r="A18" s="14"/>
      <c r="B18" s="14" t="s">
        <v>4</v>
      </c>
      <c r="C18" s="14"/>
      <c r="D18" s="15"/>
      <c r="E18" s="34">
        <f>E16-E17</f>
        <v>3662.7200000000003</v>
      </c>
      <c r="F18" s="29">
        <f>IF(E16&gt;0,E18/E16,0)</f>
        <v>0.59000000000000008</v>
      </c>
      <c r="G18" s="28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 ht="12.75" customHeight="1">
      <c r="A19" s="15"/>
      <c r="B19" s="14"/>
      <c r="C19" s="14"/>
      <c r="D19" s="15"/>
      <c r="E19" s="32"/>
      <c r="F19" s="28"/>
      <c r="G19" s="28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 ht="12.75" customHeight="1">
      <c r="A20" s="70" t="s">
        <v>33</v>
      </c>
      <c r="B20" s="71"/>
      <c r="C20" s="71"/>
      <c r="D20" s="71"/>
      <c r="E20" s="28"/>
      <c r="F20" s="28"/>
      <c r="G20" s="28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 ht="12.75" customHeight="1">
      <c r="A21" s="14"/>
      <c r="B21" s="14" t="s">
        <v>1</v>
      </c>
      <c r="C21" s="14"/>
      <c r="D21" s="15"/>
      <c r="E21" s="77">
        <v>2.25</v>
      </c>
      <c r="F21" s="29">
        <v>1</v>
      </c>
      <c r="G21" s="29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 ht="12.75" customHeight="1">
      <c r="A22" s="14"/>
      <c r="B22" s="14" t="s">
        <v>2</v>
      </c>
      <c r="C22" s="14"/>
      <c r="D22" s="15"/>
      <c r="E22" s="78">
        <v>0.66</v>
      </c>
      <c r="F22" s="30">
        <f>IF(E21&gt;0,E22/E21,0)</f>
        <v>0.29333333333333333</v>
      </c>
      <c r="G22" s="29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 ht="12.75" customHeight="1">
      <c r="A23" s="14"/>
      <c r="B23" s="14" t="s">
        <v>9</v>
      </c>
      <c r="C23" s="14"/>
      <c r="D23" s="15"/>
      <c r="E23" s="31">
        <f>E21-E22</f>
        <v>1.5899999999999999</v>
      </c>
      <c r="F23" s="29">
        <f>IF(E21&gt;0,E23/E21,0)</f>
        <v>0.70666666666666655</v>
      </c>
      <c r="G23" s="29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 ht="12.75" customHeight="1">
      <c r="A24" s="14"/>
      <c r="B24" s="14" t="s">
        <v>5</v>
      </c>
      <c r="C24" s="14"/>
      <c r="D24" s="15"/>
      <c r="E24" s="28"/>
      <c r="F24" s="28"/>
      <c r="G24" s="28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 ht="12.75" customHeight="1" thickBot="1">
      <c r="A25" s="14"/>
      <c r="B25" s="14"/>
      <c r="C25" s="14" t="s">
        <v>8</v>
      </c>
      <c r="D25" s="15"/>
      <c r="E25" s="28"/>
      <c r="F25" s="28"/>
      <c r="G25" s="28"/>
      <c r="H25" s="74">
        <f>IF(H26=0,0,H26/$T$26)</f>
        <v>5.5607043558850789E-3</v>
      </c>
      <c r="I25" s="74">
        <f t="shared" ref="I25:S25" si="1">IF(I26=0,0,I26/$T$26)</f>
        <v>4.6339202965708986E-3</v>
      </c>
      <c r="J25" s="74">
        <f t="shared" si="1"/>
        <v>1.0194624652455977E-2</v>
      </c>
      <c r="K25" s="74">
        <f t="shared" si="1"/>
        <v>2.0389249304911955E-2</v>
      </c>
      <c r="L25" s="74">
        <f t="shared" si="1"/>
        <v>0.10936051899907322</v>
      </c>
      <c r="M25" s="74">
        <f t="shared" si="1"/>
        <v>0.17979610750695088</v>
      </c>
      <c r="N25" s="74">
        <f t="shared" si="1"/>
        <v>0.21964782205746061</v>
      </c>
      <c r="O25" s="74">
        <f t="shared" si="1"/>
        <v>0.21964782205746061</v>
      </c>
      <c r="P25" s="74">
        <f t="shared" si="1"/>
        <v>0.1705282669138091</v>
      </c>
      <c r="Q25" s="74">
        <f t="shared" si="1"/>
        <v>3.9851714550509731E-2</v>
      </c>
      <c r="R25" s="74">
        <f t="shared" si="1"/>
        <v>1.0194624652455977E-2</v>
      </c>
      <c r="S25" s="74">
        <f t="shared" si="1"/>
        <v>1.0194624652455977E-2</v>
      </c>
      <c r="T25" s="75">
        <f>SUM(H25:S25)</f>
        <v>1</v>
      </c>
    </row>
    <row r="26" spans="1:20" ht="12.75" customHeight="1">
      <c r="A26" s="14"/>
      <c r="B26" s="14"/>
      <c r="C26" s="1" t="s">
        <v>5</v>
      </c>
      <c r="D26" s="15"/>
      <c r="E26" s="28"/>
      <c r="F26" s="28"/>
      <c r="G26" s="28"/>
      <c r="H26" s="79">
        <v>6</v>
      </c>
      <c r="I26" s="79">
        <v>5</v>
      </c>
      <c r="J26" s="79">
        <v>11</v>
      </c>
      <c r="K26" s="79">
        <v>22</v>
      </c>
      <c r="L26" s="79">
        <v>118</v>
      </c>
      <c r="M26" s="79">
        <v>194</v>
      </c>
      <c r="N26" s="79">
        <v>237</v>
      </c>
      <c r="O26" s="79">
        <v>237</v>
      </c>
      <c r="P26" s="79">
        <v>184</v>
      </c>
      <c r="Q26" s="79">
        <v>43</v>
      </c>
      <c r="R26" s="79">
        <v>11</v>
      </c>
      <c r="S26" s="79">
        <v>11</v>
      </c>
      <c r="T26" s="76">
        <f>SUM(H26:S26)</f>
        <v>1079</v>
      </c>
    </row>
    <row r="27" spans="1:20" ht="12.75" customHeight="1">
      <c r="A27" s="15"/>
      <c r="B27" s="14"/>
      <c r="C27" s="14"/>
      <c r="D27" s="15"/>
      <c r="E27" s="28"/>
      <c r="F27" s="28"/>
      <c r="G27" s="28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ht="12.75" customHeight="1">
      <c r="A28" s="15"/>
      <c r="B28" s="14" t="s">
        <v>7</v>
      </c>
      <c r="C28" s="14"/>
      <c r="D28" s="15"/>
      <c r="E28" s="32">
        <f>T26*E21</f>
        <v>2427.75</v>
      </c>
      <c r="F28" s="29"/>
      <c r="G28" s="28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 ht="12.75" customHeight="1">
      <c r="A29" s="15"/>
      <c r="B29" s="14" t="s">
        <v>3</v>
      </c>
      <c r="C29" s="14"/>
      <c r="D29" s="15"/>
      <c r="E29" s="33">
        <f>E22*T26</f>
        <v>712.14</v>
      </c>
      <c r="F29" s="29"/>
      <c r="G29" s="28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 ht="12.75" customHeight="1">
      <c r="A30" s="14"/>
      <c r="B30" s="14" t="s">
        <v>4</v>
      </c>
      <c r="C30" s="14"/>
      <c r="D30" s="15"/>
      <c r="E30" s="34">
        <f>E28-E29</f>
        <v>1715.6100000000001</v>
      </c>
      <c r="F30" s="29">
        <f>IF(E28&gt;0,E30/E28,0)</f>
        <v>0.70666666666666667</v>
      </c>
      <c r="G30" s="28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 ht="12.75" customHeight="1">
      <c r="A31" s="5"/>
      <c r="B31" s="6"/>
      <c r="C31" s="6"/>
      <c r="D31" s="5"/>
      <c r="E31" s="8"/>
      <c r="F31" s="7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12.75" customHeight="1">
      <c r="A32" s="5"/>
      <c r="B32" s="6"/>
      <c r="C32" s="6"/>
      <c r="D32" s="5"/>
      <c r="E32" s="9"/>
      <c r="F32" s="7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99"/>
    <pageSetUpPr fitToPage="1"/>
  </sheetPr>
  <dimension ref="A1:X24"/>
  <sheetViews>
    <sheetView showGridLines="0" zoomScaleNormal="100" workbookViewId="0">
      <selection activeCell="Q22" sqref="Q22"/>
    </sheetView>
  </sheetViews>
  <sheetFormatPr defaultRowHeight="12"/>
  <cols>
    <col min="1" max="4" width="3" style="1" customWidth="1"/>
    <col min="5" max="5" width="18.7109375" customWidth="1"/>
    <col min="6" max="6" width="6.7109375" style="10" customWidth="1"/>
    <col min="7" max="7" width="15.42578125" customWidth="1"/>
    <col min="8" max="8" width="3" customWidth="1"/>
    <col min="9" max="9" width="3.7109375" customWidth="1"/>
    <col min="10" max="10" width="22.42578125" bestFit="1" customWidth="1"/>
    <col min="11" max="22" width="9.140625" style="10"/>
    <col min="23" max="23" width="9.140625" style="61"/>
    <col min="24" max="24" width="9.140625" style="10"/>
  </cols>
  <sheetData>
    <row r="1" spans="1:23" ht="15.75">
      <c r="A1" s="3" t="s">
        <v>39</v>
      </c>
    </row>
    <row r="2" spans="1:23" ht="15.75">
      <c r="A2" s="3" t="s">
        <v>65</v>
      </c>
    </row>
    <row r="3" spans="1:23">
      <c r="E3" s="1"/>
      <c r="F3" s="19"/>
      <c r="G3" s="16"/>
      <c r="H3" s="16"/>
      <c r="I3" s="16"/>
      <c r="J3" s="39"/>
    </row>
    <row r="4" spans="1:23">
      <c r="E4" s="16"/>
      <c r="F4" s="19"/>
      <c r="G4" s="16"/>
      <c r="H4" s="16"/>
      <c r="I4" s="16"/>
    </row>
    <row r="5" spans="1:23" ht="12.75" customHeight="1">
      <c r="E5" s="16"/>
      <c r="F5" s="19"/>
      <c r="G5" s="16"/>
      <c r="H5" s="16"/>
      <c r="I5" s="16"/>
    </row>
    <row r="6" spans="1:23" ht="12.75" customHeight="1" thickBot="1">
      <c r="A6" s="49" t="s">
        <v>61</v>
      </c>
      <c r="B6" s="50"/>
      <c r="C6" s="50"/>
      <c r="D6" s="50"/>
      <c r="E6" s="51"/>
      <c r="F6" s="52"/>
      <c r="G6" s="53"/>
      <c r="H6" s="17"/>
      <c r="I6" s="17"/>
      <c r="K6" s="59" t="s">
        <v>44</v>
      </c>
      <c r="L6" s="59" t="s">
        <v>45</v>
      </c>
      <c r="M6" s="59" t="s">
        <v>46</v>
      </c>
      <c r="N6" s="59" t="s">
        <v>47</v>
      </c>
      <c r="O6" s="59" t="s">
        <v>31</v>
      </c>
      <c r="P6" s="59" t="s">
        <v>48</v>
      </c>
      <c r="Q6" s="59" t="s">
        <v>49</v>
      </c>
      <c r="R6" s="59" t="s">
        <v>50</v>
      </c>
      <c r="S6" s="59" t="s">
        <v>51</v>
      </c>
      <c r="T6" s="59" t="s">
        <v>52</v>
      </c>
      <c r="U6" s="59" t="s">
        <v>53</v>
      </c>
      <c r="V6" s="59" t="s">
        <v>54</v>
      </c>
      <c r="W6" s="60" t="s">
        <v>0</v>
      </c>
    </row>
    <row r="7" spans="1:23" ht="12.75" customHeight="1" thickTop="1">
      <c r="A7" s="54"/>
      <c r="B7" s="36"/>
      <c r="C7" s="36"/>
      <c r="D7" s="36"/>
      <c r="E7" s="35"/>
      <c r="F7" s="47"/>
      <c r="G7" s="55"/>
      <c r="H7" s="16"/>
      <c r="I7" s="16"/>
    </row>
    <row r="8" spans="1:23" ht="12.75" customHeight="1">
      <c r="A8" s="54" t="s">
        <v>60</v>
      </c>
      <c r="B8" s="36"/>
      <c r="C8" s="36"/>
      <c r="D8" s="36"/>
      <c r="E8" s="35"/>
      <c r="F8" s="47"/>
      <c r="G8" s="55"/>
      <c r="H8" s="16"/>
      <c r="I8" s="16"/>
      <c r="J8" s="17" t="s">
        <v>58</v>
      </c>
      <c r="K8" s="104">
        <v>1</v>
      </c>
      <c r="L8" s="104">
        <v>1</v>
      </c>
      <c r="M8" s="104">
        <v>3</v>
      </c>
      <c r="N8" s="104">
        <v>6</v>
      </c>
      <c r="O8" s="104">
        <v>35</v>
      </c>
      <c r="P8" s="104">
        <v>58</v>
      </c>
      <c r="Q8" s="104">
        <v>71</v>
      </c>
      <c r="R8" s="104">
        <v>71</v>
      </c>
      <c r="S8" s="104">
        <v>54</v>
      </c>
      <c r="T8" s="104">
        <v>12</v>
      </c>
      <c r="U8" s="104">
        <v>4</v>
      </c>
      <c r="V8" s="104">
        <v>3</v>
      </c>
      <c r="W8" s="326">
        <f>+SUM(K8:V8)</f>
        <v>319</v>
      </c>
    </row>
    <row r="9" spans="1:23" ht="12.75" customHeight="1">
      <c r="A9" s="54"/>
      <c r="B9" s="36" t="s">
        <v>13</v>
      </c>
      <c r="C9" s="36"/>
      <c r="D9" s="36"/>
      <c r="E9" s="35"/>
      <c r="F9" s="47"/>
      <c r="G9" s="67">
        <v>9</v>
      </c>
      <c r="H9" s="16"/>
      <c r="I9" s="16"/>
      <c r="J9" s="17"/>
      <c r="W9" s="327"/>
    </row>
    <row r="10" spans="1:23" ht="12.75" customHeight="1">
      <c r="A10" s="54"/>
      <c r="B10" s="36"/>
      <c r="C10" s="36"/>
      <c r="D10" s="36"/>
      <c r="E10" s="35"/>
      <c r="F10" s="47"/>
      <c r="G10" s="55"/>
      <c r="H10" s="16"/>
      <c r="I10" s="16"/>
      <c r="J10" s="17" t="s">
        <v>35</v>
      </c>
      <c r="K10" s="42">
        <f>+$G$9*K8</f>
        <v>9</v>
      </c>
      <c r="L10" s="42">
        <f t="shared" ref="L10:V10" si="0">+$G$9*L8</f>
        <v>9</v>
      </c>
      <c r="M10" s="42">
        <f t="shared" si="0"/>
        <v>27</v>
      </c>
      <c r="N10" s="42">
        <f t="shared" si="0"/>
        <v>54</v>
      </c>
      <c r="O10" s="42">
        <f t="shared" si="0"/>
        <v>315</v>
      </c>
      <c r="P10" s="42">
        <f t="shared" si="0"/>
        <v>522</v>
      </c>
      <c r="Q10" s="42">
        <f t="shared" si="0"/>
        <v>639</v>
      </c>
      <c r="R10" s="42">
        <f t="shared" si="0"/>
        <v>639</v>
      </c>
      <c r="S10" s="42">
        <f t="shared" si="0"/>
        <v>486</v>
      </c>
      <c r="T10" s="42">
        <f t="shared" si="0"/>
        <v>108</v>
      </c>
      <c r="U10" s="42">
        <f t="shared" si="0"/>
        <v>36</v>
      </c>
      <c r="V10" s="42">
        <f t="shared" si="0"/>
        <v>27</v>
      </c>
      <c r="W10" s="328">
        <f>SUM(K10:V10)</f>
        <v>2871</v>
      </c>
    </row>
    <row r="11" spans="1:23" ht="12.75" customHeight="1">
      <c r="A11" s="54" t="s">
        <v>57</v>
      </c>
      <c r="B11" s="36"/>
      <c r="C11" s="36"/>
      <c r="D11" s="36"/>
      <c r="E11" s="35"/>
      <c r="F11" s="47"/>
      <c r="G11" s="55"/>
      <c r="H11" s="22"/>
      <c r="I11" s="22"/>
      <c r="J11" s="17" t="s">
        <v>56</v>
      </c>
      <c r="K11" s="43">
        <f t="shared" ref="K11:W11" si="1">+K10*SUM($G$12:$G$13)</f>
        <v>0.6885</v>
      </c>
      <c r="L11" s="43">
        <f t="shared" si="1"/>
        <v>0.6885</v>
      </c>
      <c r="M11" s="43">
        <f t="shared" si="1"/>
        <v>2.0655000000000001</v>
      </c>
      <c r="N11" s="43">
        <f t="shared" si="1"/>
        <v>4.1310000000000002</v>
      </c>
      <c r="O11" s="43">
        <f t="shared" si="1"/>
        <v>24.0975</v>
      </c>
      <c r="P11" s="43">
        <f t="shared" si="1"/>
        <v>39.933</v>
      </c>
      <c r="Q11" s="43">
        <f t="shared" si="1"/>
        <v>48.883499999999998</v>
      </c>
      <c r="R11" s="43">
        <f t="shared" si="1"/>
        <v>48.883499999999998</v>
      </c>
      <c r="S11" s="43">
        <f t="shared" si="1"/>
        <v>37.179000000000002</v>
      </c>
      <c r="T11" s="43">
        <f t="shared" si="1"/>
        <v>8.2620000000000005</v>
      </c>
      <c r="U11" s="43">
        <f t="shared" si="1"/>
        <v>2.754</v>
      </c>
      <c r="V11" s="43">
        <f t="shared" si="1"/>
        <v>2.0655000000000001</v>
      </c>
      <c r="W11" s="329">
        <f t="shared" si="1"/>
        <v>219.63149999999999</v>
      </c>
    </row>
    <row r="12" spans="1:23" ht="12.75" customHeight="1">
      <c r="A12" s="54"/>
      <c r="B12" s="36" t="s">
        <v>14</v>
      </c>
      <c r="C12" s="36"/>
      <c r="D12" s="36"/>
      <c r="E12" s="35"/>
      <c r="F12" s="47"/>
      <c r="G12" s="63">
        <v>6.2E-2</v>
      </c>
      <c r="H12" s="16"/>
      <c r="I12" s="16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62"/>
    </row>
    <row r="13" spans="1:23" ht="12.75" customHeight="1">
      <c r="A13" s="54"/>
      <c r="B13" s="36" t="s">
        <v>15</v>
      </c>
      <c r="C13" s="36"/>
      <c r="D13" s="36"/>
      <c r="E13" s="35"/>
      <c r="F13" s="47"/>
      <c r="G13" s="63">
        <v>1.4500000000000001E-2</v>
      </c>
      <c r="H13" s="16"/>
      <c r="I13" s="16"/>
      <c r="J13" s="17" t="s">
        <v>59</v>
      </c>
      <c r="K13" s="42">
        <f>+SUM(K10:K11)</f>
        <v>9.6884999999999994</v>
      </c>
      <c r="L13" s="42">
        <f t="shared" ref="L13:V13" si="2">+SUM(L10:L11)</f>
        <v>9.6884999999999994</v>
      </c>
      <c r="M13" s="42">
        <f t="shared" si="2"/>
        <v>29.0655</v>
      </c>
      <c r="N13" s="42">
        <f t="shared" si="2"/>
        <v>58.131</v>
      </c>
      <c r="O13" s="42">
        <f t="shared" si="2"/>
        <v>339.09750000000003</v>
      </c>
      <c r="P13" s="42">
        <f t="shared" si="2"/>
        <v>561.93299999999999</v>
      </c>
      <c r="Q13" s="42">
        <f t="shared" si="2"/>
        <v>687.88350000000003</v>
      </c>
      <c r="R13" s="42">
        <f t="shared" si="2"/>
        <v>687.88350000000003</v>
      </c>
      <c r="S13" s="42">
        <f t="shared" si="2"/>
        <v>523.17899999999997</v>
      </c>
      <c r="T13" s="42">
        <f t="shared" si="2"/>
        <v>116.262</v>
      </c>
      <c r="U13" s="42">
        <f t="shared" si="2"/>
        <v>38.753999999999998</v>
      </c>
      <c r="V13" s="42">
        <f t="shared" si="2"/>
        <v>29.0655</v>
      </c>
      <c r="W13" s="62">
        <f>SUM(K13:V13)</f>
        <v>3090.6315000000004</v>
      </c>
    </row>
    <row r="14" spans="1:23" ht="12.75" customHeight="1">
      <c r="A14" s="56"/>
      <c r="B14" s="57"/>
      <c r="C14" s="57"/>
      <c r="D14" s="57"/>
      <c r="E14" s="105"/>
      <c r="F14" s="106"/>
      <c r="G14" s="107"/>
      <c r="H14" s="23"/>
      <c r="I14" s="16"/>
    </row>
    <row r="15" spans="1:23" ht="12.75" customHeight="1">
      <c r="A15" s="36"/>
      <c r="B15" s="36"/>
      <c r="C15" s="36"/>
      <c r="D15" s="36"/>
      <c r="E15" s="11"/>
      <c r="F15" s="46"/>
      <c r="G15" s="11"/>
      <c r="H15" s="23"/>
      <c r="I15" s="16"/>
    </row>
    <row r="16" spans="1:23" ht="12.75" customHeight="1">
      <c r="A16" s="36"/>
      <c r="B16" s="36"/>
      <c r="C16" s="36"/>
      <c r="D16" s="36"/>
      <c r="E16" s="11"/>
      <c r="F16" s="46"/>
      <c r="G16" s="11"/>
      <c r="H16" s="23"/>
      <c r="I16" s="48"/>
    </row>
    <row r="17" spans="1:9" ht="12.75" customHeight="1">
      <c r="A17" s="36"/>
      <c r="B17" s="36"/>
      <c r="C17" s="36"/>
      <c r="D17" s="36"/>
      <c r="E17" s="11"/>
      <c r="F17" s="46"/>
      <c r="G17" s="11"/>
      <c r="H17" s="23"/>
      <c r="I17" s="48"/>
    </row>
    <row r="18" spans="1:9" ht="12.75" customHeight="1">
      <c r="A18" s="36"/>
      <c r="B18" s="36"/>
      <c r="C18" s="36"/>
      <c r="D18" s="36"/>
      <c r="E18" s="35"/>
      <c r="F18" s="47"/>
      <c r="G18" s="35"/>
      <c r="H18" s="16"/>
      <c r="I18" s="16"/>
    </row>
    <row r="19" spans="1:9" ht="12.75" customHeight="1">
      <c r="E19" s="16"/>
      <c r="F19" s="19"/>
      <c r="G19" s="16"/>
      <c r="H19" s="16"/>
      <c r="I19" s="16"/>
    </row>
    <row r="20" spans="1:9" ht="12.75" customHeight="1">
      <c r="E20" s="16"/>
      <c r="F20" s="19"/>
      <c r="G20" s="16"/>
      <c r="H20" s="16"/>
      <c r="I20" s="16"/>
    </row>
    <row r="21" spans="1:9" ht="12.75" customHeight="1">
      <c r="E21" s="16"/>
      <c r="F21" s="19"/>
      <c r="G21" s="16"/>
      <c r="H21" s="16"/>
      <c r="I21" s="16"/>
    </row>
    <row r="22" spans="1:9" ht="12.75" customHeight="1">
      <c r="E22" s="16"/>
      <c r="F22" s="19"/>
      <c r="G22" s="16"/>
      <c r="H22" s="16"/>
      <c r="I22" s="16"/>
    </row>
    <row r="23" spans="1:9" ht="12.75" customHeight="1"/>
    <row r="24" spans="1:9" ht="12.75" customHeight="1"/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99"/>
    <pageSetUpPr fitToPage="1"/>
  </sheetPr>
  <dimension ref="A1:J40"/>
  <sheetViews>
    <sheetView showGridLines="0" zoomScaleNormal="100" workbookViewId="0">
      <selection activeCell="E24" sqref="E24"/>
    </sheetView>
  </sheetViews>
  <sheetFormatPr defaultRowHeight="12"/>
  <cols>
    <col min="1" max="4" width="3" style="1" customWidth="1"/>
    <col min="5" max="5" width="20.7109375" customWidth="1"/>
    <col min="6" max="6" width="5.7109375" customWidth="1"/>
    <col min="7" max="7" width="18.7109375" customWidth="1"/>
    <col min="8" max="8" width="5.7109375" customWidth="1"/>
    <col min="9" max="9" width="18.7109375" customWidth="1"/>
    <col min="10" max="10" width="5.7109375" customWidth="1"/>
  </cols>
  <sheetData>
    <row r="1" spans="1:10" ht="15.75">
      <c r="A1" s="3" t="s">
        <v>39</v>
      </c>
    </row>
    <row r="2" spans="1:10" ht="15.75">
      <c r="A2" s="3" t="s">
        <v>66</v>
      </c>
    </row>
    <row r="3" spans="1:10">
      <c r="E3" s="1"/>
      <c r="F3" s="16"/>
      <c r="G3" s="16"/>
      <c r="H3" s="16"/>
      <c r="I3" s="16"/>
      <c r="J3" s="16"/>
    </row>
    <row r="4" spans="1:10">
      <c r="E4" s="16"/>
      <c r="F4" s="16"/>
      <c r="G4" s="16"/>
      <c r="H4" s="16"/>
      <c r="I4" s="16"/>
      <c r="J4" s="16"/>
    </row>
    <row r="5" spans="1:10" ht="12.75" customHeight="1">
      <c r="E5" s="16"/>
      <c r="F5" s="16"/>
      <c r="G5" s="16"/>
      <c r="H5" s="16"/>
      <c r="I5" s="16"/>
      <c r="J5" s="16"/>
    </row>
    <row r="6" spans="1:10" ht="12.75" customHeight="1" thickBot="1">
      <c r="A6" s="1" t="s">
        <v>16</v>
      </c>
      <c r="E6" s="16"/>
      <c r="F6" s="17"/>
      <c r="G6" s="38" t="s">
        <v>34</v>
      </c>
      <c r="H6" s="17"/>
      <c r="I6" s="38" t="s">
        <v>55</v>
      </c>
      <c r="J6" s="17"/>
    </row>
    <row r="7" spans="1:10" ht="12.75" customHeight="1" thickTop="1">
      <c r="E7" s="16"/>
      <c r="F7" s="16"/>
      <c r="G7" s="16"/>
      <c r="H7" s="16"/>
      <c r="I7" s="16"/>
      <c r="J7" s="16"/>
    </row>
    <row r="8" spans="1:10" ht="12.75" customHeight="1">
      <c r="E8" s="16"/>
      <c r="F8" s="16"/>
      <c r="G8" s="16"/>
      <c r="H8" s="16"/>
      <c r="I8" s="16"/>
      <c r="J8" s="16"/>
    </row>
    <row r="9" spans="1:10" ht="12.75" customHeight="1">
      <c r="A9" s="12" t="s">
        <v>17</v>
      </c>
      <c r="B9" s="12"/>
      <c r="C9" s="12"/>
      <c r="D9" s="12"/>
      <c r="E9" s="20"/>
      <c r="F9" s="20"/>
      <c r="G9" s="20"/>
      <c r="H9" s="20"/>
      <c r="I9" s="20"/>
      <c r="J9" s="20"/>
    </row>
    <row r="10" spans="1:10" ht="12.75" customHeight="1">
      <c r="A10" s="12"/>
      <c r="B10" s="41" t="s">
        <v>18</v>
      </c>
      <c r="C10" s="12"/>
      <c r="D10" s="12"/>
      <c r="E10" s="20"/>
      <c r="F10" s="20"/>
      <c r="G10" s="101">
        <v>15</v>
      </c>
      <c r="H10" s="20"/>
      <c r="I10" s="64">
        <f>+G10*12</f>
        <v>180</v>
      </c>
      <c r="J10" s="20"/>
    </row>
    <row r="11" spans="1:10" ht="12.75" customHeight="1">
      <c r="A11" s="12"/>
      <c r="B11" s="41" t="s">
        <v>30</v>
      </c>
      <c r="C11" s="12"/>
      <c r="D11" s="12"/>
      <c r="E11" s="20"/>
      <c r="F11" s="20"/>
      <c r="G11" s="96">
        <v>3</v>
      </c>
      <c r="H11" s="20"/>
      <c r="I11" s="65">
        <f t="shared" ref="I11:I16" si="0">+G11*12</f>
        <v>36</v>
      </c>
      <c r="J11" s="20"/>
    </row>
    <row r="12" spans="1:10" ht="12.75" customHeight="1">
      <c r="A12" s="12"/>
      <c r="B12" s="41" t="s">
        <v>19</v>
      </c>
      <c r="C12" s="12"/>
      <c r="D12" s="12"/>
      <c r="E12" s="20"/>
      <c r="F12" s="20"/>
      <c r="G12" s="96">
        <v>2.25</v>
      </c>
      <c r="H12" s="20"/>
      <c r="I12" s="65">
        <f t="shared" si="0"/>
        <v>27</v>
      </c>
      <c r="J12" s="20"/>
    </row>
    <row r="13" spans="1:10" ht="12.75" customHeight="1">
      <c r="A13" s="12"/>
      <c r="B13" s="41" t="s">
        <v>36</v>
      </c>
      <c r="C13" s="12"/>
      <c r="D13" s="12"/>
      <c r="E13" s="20"/>
      <c r="F13" s="20"/>
      <c r="G13" s="96">
        <v>1.85</v>
      </c>
      <c r="H13" s="20"/>
      <c r="I13" s="65">
        <f t="shared" si="0"/>
        <v>22.200000000000003</v>
      </c>
      <c r="J13" s="20"/>
    </row>
    <row r="14" spans="1:10" ht="12.75" customHeight="1">
      <c r="A14" s="12"/>
      <c r="B14" s="41" t="s">
        <v>38</v>
      </c>
      <c r="C14" s="12"/>
      <c r="D14" s="12"/>
      <c r="E14" s="20"/>
      <c r="F14" s="20"/>
      <c r="G14" s="96">
        <v>20</v>
      </c>
      <c r="H14" s="20"/>
      <c r="I14" s="65">
        <f t="shared" si="0"/>
        <v>240</v>
      </c>
      <c r="J14" s="20"/>
    </row>
    <row r="15" spans="1:10" ht="12.75" customHeight="1" thickBot="1">
      <c r="A15" s="12"/>
      <c r="B15" s="41" t="s">
        <v>29</v>
      </c>
      <c r="C15" s="12"/>
      <c r="D15" s="12"/>
      <c r="E15" s="20"/>
      <c r="F15" s="24"/>
      <c r="G15" s="102">
        <v>2.0499999999999998</v>
      </c>
      <c r="H15" s="24"/>
      <c r="I15" s="66">
        <f t="shared" si="0"/>
        <v>24.599999999999998</v>
      </c>
      <c r="J15" s="24"/>
    </row>
    <row r="16" spans="1:10" ht="12.75" customHeight="1">
      <c r="A16" s="12" t="s">
        <v>20</v>
      </c>
      <c r="B16" s="12"/>
      <c r="C16" s="12"/>
      <c r="D16" s="12"/>
      <c r="E16" s="20"/>
      <c r="F16" s="20"/>
      <c r="G16" s="21">
        <f>SUM(G10:G15)</f>
        <v>44.15</v>
      </c>
      <c r="H16" s="20"/>
      <c r="I16" s="21">
        <f t="shared" si="0"/>
        <v>529.79999999999995</v>
      </c>
      <c r="J16" s="20"/>
    </row>
    <row r="17" spans="1:10" ht="12.75" customHeight="1" thickBot="1">
      <c r="A17" s="12"/>
      <c r="B17" s="12"/>
      <c r="C17" s="12"/>
      <c r="D17" s="12"/>
      <c r="E17" s="20"/>
      <c r="F17" s="20"/>
      <c r="G17" s="21"/>
      <c r="H17" s="20"/>
      <c r="I17" s="21"/>
      <c r="J17" s="20"/>
    </row>
    <row r="18" spans="1:10" ht="18" customHeight="1" thickBot="1">
      <c r="A18" s="12" t="s">
        <v>21</v>
      </c>
      <c r="B18" s="12"/>
      <c r="C18" s="12"/>
      <c r="D18" s="12"/>
      <c r="E18" s="20"/>
      <c r="F18" s="20"/>
      <c r="G18" s="307">
        <f>+G16</f>
        <v>44.15</v>
      </c>
      <c r="H18" s="308"/>
      <c r="I18" s="307">
        <f>+I16</f>
        <v>529.79999999999995</v>
      </c>
      <c r="J18" s="20"/>
    </row>
    <row r="19" spans="1:10" ht="12.75" customHeight="1" thickTop="1">
      <c r="A19" s="12"/>
      <c r="B19" s="12"/>
      <c r="C19" s="12"/>
      <c r="D19" s="12"/>
      <c r="E19" s="20"/>
      <c r="F19" s="20"/>
      <c r="G19" s="20"/>
      <c r="H19" s="20"/>
      <c r="I19" s="20"/>
      <c r="J19" s="20"/>
    </row>
    <row r="20" spans="1:10" ht="12.75" customHeight="1">
      <c r="E20" s="16"/>
      <c r="F20" s="16"/>
      <c r="G20" s="16"/>
      <c r="H20" s="16"/>
      <c r="I20" s="16"/>
      <c r="J20" s="16"/>
    </row>
    <row r="21" spans="1:10" ht="12.75" customHeight="1">
      <c r="E21" s="16"/>
      <c r="F21" s="16"/>
      <c r="G21" s="16"/>
      <c r="H21" s="16"/>
      <c r="I21" s="16"/>
      <c r="J21" s="16"/>
    </row>
    <row r="22" spans="1:10" ht="12.75" customHeight="1">
      <c r="E22" s="16"/>
      <c r="F22" s="16"/>
      <c r="G22" s="16"/>
      <c r="H22" s="16"/>
      <c r="I22" s="16"/>
      <c r="J22" s="16"/>
    </row>
    <row r="23" spans="1:10" ht="12.75" customHeight="1">
      <c r="E23" s="16"/>
      <c r="F23" s="16"/>
      <c r="G23" s="16"/>
      <c r="H23" s="16"/>
      <c r="I23" s="16"/>
      <c r="J23" s="16"/>
    </row>
    <row r="24" spans="1:10" ht="12.75" customHeight="1">
      <c r="E24" s="16"/>
      <c r="F24" s="16"/>
      <c r="G24" s="16"/>
      <c r="H24" s="16"/>
      <c r="I24" s="16"/>
      <c r="J24" s="16"/>
    </row>
    <row r="25" spans="1:10" ht="12.75" customHeight="1">
      <c r="E25" s="16"/>
      <c r="F25" s="16"/>
      <c r="G25" s="16"/>
      <c r="H25" s="16"/>
      <c r="I25" s="16"/>
      <c r="J25" s="16"/>
    </row>
    <row r="26" spans="1:10" ht="12.75" customHeight="1">
      <c r="E26" s="16"/>
      <c r="F26" s="16"/>
      <c r="G26" s="16"/>
      <c r="H26" s="16"/>
      <c r="I26" s="16"/>
      <c r="J26" s="16"/>
    </row>
    <row r="27" spans="1:10" ht="12.75" customHeight="1">
      <c r="E27" s="16"/>
      <c r="F27" s="16"/>
      <c r="G27" s="16"/>
      <c r="H27" s="16"/>
      <c r="I27" s="16"/>
      <c r="J27" s="16"/>
    </row>
    <row r="28" spans="1:10" ht="12.75" customHeight="1"/>
    <row r="29" spans="1:10" ht="12.75" customHeight="1"/>
    <row r="30" spans="1:10" ht="12.75" customHeight="1"/>
    <row r="31" spans="1:10" ht="12.75" customHeight="1"/>
    <row r="32" spans="1:10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</sheetData>
  <phoneticPr fontId="6" type="noConversion"/>
  <pageMargins left="0.75" right="0.75" top="1" bottom="1" header="0.5" footer="0.5"/>
  <pageSetup orientation="landscape" blackAndWhite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Model Design</vt:lpstr>
      <vt:lpstr>1. Instructions</vt:lpstr>
      <vt:lpstr>2. Summary</vt:lpstr>
      <vt:lpstr>3. Sensitivity Analysis</vt:lpstr>
      <vt:lpstr>4. Acquisition Financing</vt:lpstr>
      <vt:lpstr>5. Projected Income Statement</vt:lpstr>
      <vt:lpstr>6. Projected Sales</vt:lpstr>
      <vt:lpstr>7. Projected Payroll</vt:lpstr>
      <vt:lpstr>8. Projected Oper. Expenses</vt:lpstr>
      <vt:lpstr>'1. Instructions'!Print_Area</vt:lpstr>
      <vt:lpstr>'2. Summary'!Print_Area</vt:lpstr>
      <vt:lpstr>'3. Sensitivity Analysis'!Print_Area</vt:lpstr>
      <vt:lpstr>'4. Acquisition Financing'!Print_Area</vt:lpstr>
      <vt:lpstr>'5. Projected Income Statement'!Print_Area</vt:lpstr>
      <vt:lpstr>'6. Projected Sales'!Print_Area</vt:lpstr>
      <vt:lpstr>'7. Projected Payroll'!Print_Area</vt:lpstr>
      <vt:lpstr>'8. Projected Oper. Expenses'!Print_Area</vt:lpstr>
      <vt:lpstr>'Model Design'!Print_Area</vt:lpstr>
      <vt:lpstr>'5. Projected Income Statement'!Print_Titles</vt:lpstr>
    </vt:vector>
  </TitlesOfParts>
  <Company>CEDC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Hess</dc:creator>
  <cp:lastModifiedBy>Brandon</cp:lastModifiedBy>
  <cp:lastPrinted>2016-08-10T15:53:20Z</cp:lastPrinted>
  <dcterms:created xsi:type="dcterms:W3CDTF">2006-04-19T18:37:42Z</dcterms:created>
  <dcterms:modified xsi:type="dcterms:W3CDTF">2016-08-16T15:37:38Z</dcterms:modified>
</cp:coreProperties>
</file>